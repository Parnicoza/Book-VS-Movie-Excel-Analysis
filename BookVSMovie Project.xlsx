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tables/table17.xml" ContentType="application/vnd.openxmlformats-officedocument.spreadsheetml.table+xml"/>
  <Override PartName="/xl/queryTables/queryTable16.xml" ContentType="application/vnd.openxmlformats-officedocument.spreadsheetml.query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tables/table18.xml" ContentType="application/vnd.openxmlformats-officedocument.spreadsheetml.table+xml"/>
  <Override PartName="/xl/queryTables/queryTable17.xml" ContentType="application/vnd.openxmlformats-officedocument.spreadsheetml.query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tables/table19.xml" ContentType="application/vnd.openxmlformats-officedocument.spreadsheetml.table+xml"/>
  <Override PartName="/xl/queryTables/queryTable18.xml" ContentType="application/vnd.openxmlformats-officedocument.spreadsheetml.queryTab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tables/table20.xml" ContentType="application/vnd.openxmlformats-officedocument.spreadsheetml.table+xml"/>
  <Override PartName="/xl/queryTables/queryTable19.xml" ContentType="application/vnd.openxmlformats-officedocument.spreadsheetml.query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omments2.xml" ContentType="application/vnd.openxmlformats-officedocument.spreadsheetml.comments+xml"/>
  <Override PartName="/xl/drawings/drawing20.xml" ContentType="application/vnd.openxmlformats-officedocument.drawing+xml"/>
  <Override PartName="/xl/tables/table21.xml" ContentType="application/vnd.openxmlformats-officedocument.spreadsheetml.tab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tables/table22.xml" ContentType="application/vnd.openxmlformats-officedocument.spreadsheetml.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tables/table23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8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9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40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4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42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43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BooksVSMovie Project\"/>
    </mc:Choice>
  </mc:AlternateContent>
  <xr:revisionPtr revIDLastSave="0" documentId="13_ncr:1_{45CB8E60-47F4-4AEB-974A-C7DC57246C34}" xr6:coauthVersionLast="47" xr6:coauthVersionMax="47" xr10:uidLastSave="{00000000-0000-0000-0000-000000000000}"/>
  <bookViews>
    <workbookView xWindow="-120" yWindow="-120" windowWidth="29040" windowHeight="15720" activeTab="44" xr2:uid="{32A63E87-171A-461B-A186-40FC3C7CA516}"/>
  </bookViews>
  <sheets>
    <sheet name="Books Dataset" sheetId="3" r:id="rId1"/>
    <sheet name="The Lord of the Rings (The Lord" sheetId="5" state="hidden" r:id="rId2"/>
    <sheet name="Harry Potter and the Sorcerer's" sheetId="8" state="hidden" r:id="rId3"/>
    <sheet name="Gone With the Wind" sheetId="9" state="hidden" r:id="rId4"/>
    <sheet name="The Hunger Games (The Hunger Ga" sheetId="10" state="hidden" r:id="rId5"/>
    <sheet name="The GodFather" sheetId="11" state="hidden" r:id="rId6"/>
    <sheet name="To Kill A Mockingbird" sheetId="12" state="hidden" r:id="rId7"/>
    <sheet name="Pride and Prejudice" sheetId="13" state="hidden" r:id="rId8"/>
    <sheet name="The Silence of the Lambs" sheetId="14" state="hidden" r:id="rId9"/>
    <sheet name="The Shining" sheetId="17" state="hidden" r:id="rId10"/>
    <sheet name="The Girl With the Dragon Tattoo" sheetId="15" state="hidden" r:id="rId11"/>
    <sheet name="A Game of Thrones" sheetId="16" state="hidden" r:id="rId12"/>
    <sheet name="The Great Gatsby" sheetId="22" state="hidden" r:id="rId13"/>
    <sheet name="One Flew Over the Cuckoo's Nest" sheetId="19" state="hidden" r:id="rId14"/>
    <sheet name="Jurassic Park" sheetId="21" state="hidden" r:id="rId15"/>
    <sheet name="Fight Club" sheetId="23" state="hidden" r:id="rId16"/>
    <sheet name="The Handmaid's Tale" sheetId="25" state="hidden" r:id="rId17"/>
    <sheet name="Dracula" sheetId="20" state="hidden" r:id="rId18"/>
    <sheet name="Do Androids Dream of Electric S" sheetId="24" state="hidden" r:id="rId19"/>
    <sheet name="The Notebook" sheetId="18" state="hidden" r:id="rId20"/>
    <sheet name="Movie Data" sheetId="7" r:id="rId21"/>
    <sheet name="The Lord of the Rings -Rating" sheetId="26" state="hidden" r:id="rId22"/>
    <sheet name="H.P and the Sorcere's Stone-Ra " sheetId="27" state="hidden" r:id="rId23"/>
    <sheet name="Gone with the Wind-Rating" sheetId="28" state="hidden" r:id="rId24"/>
    <sheet name="Film - The Lord of the Rings T" sheetId="29" state="hidden" r:id="rId25"/>
    <sheet name="Film - Harry Potter and the Sor" sheetId="30" state="hidden" r:id="rId26"/>
    <sheet name="Film - Gone with the Wind" sheetId="31" state="hidden" r:id="rId27"/>
    <sheet name="Film - The Hunger Games" sheetId="32" state="hidden" r:id="rId28"/>
    <sheet name="Film - The Godfather" sheetId="33" state="hidden" r:id="rId29"/>
    <sheet name="Film - To Kill a Mockingbird" sheetId="34" state="hidden" r:id="rId30"/>
    <sheet name="Film - Pride &amp; Prejudice" sheetId="35" state="hidden" r:id="rId31"/>
    <sheet name="Film - The Silence of the Lambs" sheetId="36" state="hidden" r:id="rId32"/>
    <sheet name="Film - The Shining" sheetId="37" state="hidden" r:id="rId33"/>
    <sheet name="Film - The Girl with the Dragon" sheetId="38" state="hidden" r:id="rId34"/>
    <sheet name="Film - Game of Thrones" sheetId="39" state="hidden" r:id="rId35"/>
    <sheet name="Film - The Great Gatsby" sheetId="40" state="hidden" r:id="rId36"/>
    <sheet name="Film - One Flew Over the Cuckoo" sheetId="41" state="hidden" r:id="rId37"/>
    <sheet name="Film - Jurassic Park" sheetId="42" state="hidden" r:id="rId38"/>
    <sheet name="Film - Fight Club" sheetId="43" state="hidden" r:id="rId39"/>
    <sheet name="Film - The Handmaid's Tale" sheetId="44" state="hidden" r:id="rId40"/>
    <sheet name="Film - Bram Stoker's Dracula" sheetId="45" state="hidden" r:id="rId41"/>
    <sheet name="Film - Schindler's List" sheetId="46" state="hidden" r:id="rId42"/>
    <sheet name="Film - Blade Runner" sheetId="47" state="hidden" r:id="rId43"/>
    <sheet name="Film - The Notebook" sheetId="48" state="hidden" r:id="rId44"/>
    <sheet name="📚 Dashboard 🎬" sheetId="49" r:id="rId45"/>
  </sheets>
  <definedNames>
    <definedName name="ExternalData_1" localSheetId="2" hidden="1">'Harry Potter and the Sorcerer''s'!$A$1:$B$6</definedName>
    <definedName name="ExternalData_1" localSheetId="4" hidden="1">'The Hunger Games (The Hunger Ga'!$A$1:$B$6</definedName>
    <definedName name="ExternalData_1" localSheetId="1" hidden="1">'The Lord of the Rings (The Lord'!$A$1:$B$6</definedName>
    <definedName name="ExternalData_10" localSheetId="13" hidden="1">'One Flew Over the Cuckoo''s Nest'!$A$1:$B$6</definedName>
    <definedName name="ExternalData_11" localSheetId="17" hidden="1">Dracula!$A$1:$B$6</definedName>
    <definedName name="ExternalData_12" localSheetId="14" hidden="1">'Jurassic Park'!$A$1:$B$6</definedName>
    <definedName name="ExternalData_13" localSheetId="12" hidden="1">'The Great Gatsby'!$A$1:$B$6</definedName>
    <definedName name="ExternalData_14" localSheetId="15" hidden="1">'Fight Club'!$A$1:$B$6</definedName>
    <definedName name="ExternalData_15" localSheetId="18" hidden="1">'Do Androids Dream of Electric S'!$A$1:$B$6</definedName>
    <definedName name="ExternalData_16" localSheetId="16" hidden="1">'The Handmaid''s Tale'!$A$1:$B$6</definedName>
    <definedName name="ExternalData_2" localSheetId="3" hidden="1">'Gone With the Wind'!$A$1:$B$6</definedName>
    <definedName name="ExternalData_2" localSheetId="5" hidden="1">'The GodFather'!$A$1:$B$6</definedName>
    <definedName name="ExternalData_3" localSheetId="6" hidden="1">'To Kill A Mockingbird'!$A$1:$B$6</definedName>
    <definedName name="ExternalData_4" localSheetId="7" hidden="1">'Pride and Prejudice'!$A$1:$B$6</definedName>
    <definedName name="ExternalData_5" localSheetId="8" hidden="1">'The Silence of the Lambs'!$A$1:$B$6</definedName>
    <definedName name="ExternalData_6" localSheetId="10" hidden="1">'The Girl With the Dragon Tattoo'!$A$1:$B$6</definedName>
    <definedName name="ExternalData_7" localSheetId="11" hidden="1">'A Game of Thrones'!$A$1:$B$6</definedName>
    <definedName name="ExternalData_8" localSheetId="9" hidden="1">'The Shining'!$A$1:$B$6</definedName>
    <definedName name="ExternalData_9" localSheetId="19" hidden="1">'The Notebook'!$A$1:$B$6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3" i="49" l="1"/>
  <c r="E40" i="49"/>
  <c r="E39" i="49"/>
  <c r="E38" i="49"/>
  <c r="E37" i="49"/>
  <c r="E36" i="49"/>
  <c r="E35" i="49"/>
  <c r="E34" i="49"/>
  <c r="E33" i="49"/>
  <c r="E32" i="49"/>
  <c r="E31" i="49"/>
  <c r="B35" i="49"/>
  <c r="B34" i="49"/>
  <c r="B33" i="49"/>
  <c r="B32" i="49"/>
  <c r="B31" i="49"/>
  <c r="O14" i="49"/>
  <c r="O11" i="49"/>
  <c r="O12" i="49"/>
  <c r="O10" i="49"/>
  <c r="B14" i="49"/>
  <c r="B13" i="49"/>
  <c r="B12" i="49"/>
  <c r="B11" i="49"/>
  <c r="B10" i="49"/>
  <c r="O9" i="49"/>
  <c r="B9" i="49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tc={52EF277B-367F-48BD-94BD-F7C1B059A30A}</author>
    <author>tc={58E434AB-4090-495E-8AD7-0394E149D1BB}</author>
    <author>tc={950134A0-7E93-4A33-8FB1-D23486F4C574}</author>
    <author>tc={359212BC-F372-4722-8375-1FC48B4286F2}</author>
    <author>tc={F85D0541-EBB0-4CAB-A093-E3661851447B}</author>
    <author>tc={8FDCF55D-13BB-4E7B-B95C-B91B5E9C39C2}</author>
    <author>tc={57B38388-977C-48CC-9DE4-3101D73D94FC}</author>
    <author>tc={B6537BA9-61CC-45C7-BD5F-CC7C97373A53}</author>
    <author>tc={0B1F6FC4-6B2B-4F88-848B-A610F2705850}</author>
    <author>tc={9748F69F-1A6D-4066-B6AD-756F24F60B15}</author>
    <author>tc={3C9511DD-FDB0-410C-847A-8BADEAD49A4C}</author>
    <author>tc={6BD3D056-02C0-4D30-AC0A-4E4452A9579F}</author>
    <author>tc={0ECAAD5C-401B-4646-96F5-C3728861E2DB}</author>
    <author>tc={83B6120B-2630-409A-91AF-49B778E9B1BA}</author>
    <author>tc={B86D4297-6D5F-443D-973E-58AF829E87BE}</author>
    <author>tc={727889FF-4290-4EB3-B645-DDB6FC93B145}</author>
    <author>tc={0B2466C3-862F-4AC0-993C-B4394D526134}</author>
    <author>tc={D1FCF3E1-5CA2-4339-AFF8-F86FB3AD2610}</author>
    <author>tc={5866352A-1058-480F-8F76-53019CCC7DBB}</author>
    <author>tc={C87D4190-8045-4FF8-B369-BF650C997774}</author>
  </authors>
  <commentList>
    <comment ref="F2" authorId="0" shapeId="0" xr:uid="{52EF277B-367F-48BD-94BD-F7C1B059A30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Trilogy total (hard to split per volume)
Source: https://en.wikipedia.org/wiki/The_Lord_of_the_Rings</t>
      </text>
    </comment>
    <comment ref="F3" authorId="1" shapeId="0" xr:uid="{58E434AB-4090-495E-8AD7-0394E149D1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First book only
Source: https://en.wikipedia.org/wiki/Harry_Potter_and_the_Philosopher%27s_Stone</t>
      </text>
    </comment>
    <comment ref="F4" authorId="2" shapeId="0" xr:uid="{950134A0-7E93-4A33-8FB1-D23486F4C57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https://en.wikipedia.org/wiki/Gone_with_the_Wind_(novel)</t>
      </text>
    </comment>
    <comment ref="F5" authorId="3" shapeId="0" xr:uid="{359212BC-F372-4722-8375-1FC48B4286F2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First book estimate (trilogy total = 100M+)
Source: https://en.wikipedia.org/wiki/The_Hunger_Games_(novel)</t>
      </text>
    </comment>
    <comment ref="F6" authorId="4" shapeId="0" xr:uid="{F85D0541-EBB0-4CAB-A093-E3661851447B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https://en.wikipedia.org/wiki/The_Godfather_(novel)</t>
      </text>
    </comment>
    <comment ref="F7" authorId="5" shapeId="0" xr:uid="{8FDCF55D-13BB-4E7B-B95C-B91B5E9C39C2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https://en.wikipedia.org/wiki/To_Kill_a_Mockingbird</t>
      </text>
    </comment>
    <comment ref="F8" authorId="6" shapeId="0" xr:uid="{57B38388-977C-48CC-9DE4-3101D73D94FC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Estimate — no exact figure (public domain, many editions)
Source: https://en.wikipedia.org/wiki/Pride_and_Prejudice</t>
      </text>
    </comment>
    <comment ref="F9" authorId="7" shapeId="0" xr:uid="{B6537BA9-61CC-45C7-BD5F-CC7C97373A5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https://en.wikipedia.org/wiki/The_Silence_of_the_Lambs_(novel)</t>
      </text>
    </comment>
    <comment ref="F10" authorId="8" shapeId="0" xr:uid="{0B1F6FC4-6B2B-4F88-848B-A610F27058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First book only
Source: https://en.wikipedia.org/wiki/The_Girl_with_the_Dragon_Tattoo</t>
      </text>
    </comment>
    <comment ref="F11" authorId="9" shapeId="0" xr:uid="{9748F69F-1A6D-4066-B6AD-756F24F60B1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First book only (series total = 90M+)
Source: https://en.wikipedia.org/wiki/A_Game_of_Thrones</t>
      </text>
    </comment>
    <comment ref="F12" authorId="10" shapeId="0" xr:uid="{3C9511DD-FDB0-410C-847A-8BADEAD49A4C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Estimate
Source: https://en.wikipedia.org/wiki/The_Shining_(novel)</t>
      </text>
    </comment>
    <comment ref="F13" authorId="11" shapeId="0" xr:uid="{6BD3D056-02C0-4D30-AC0A-4E4452A9579F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Estimate
Source: https://en.wikipedia.org/wiki/The_Notebook</t>
      </text>
    </comment>
    <comment ref="F14" authorId="12" shapeId="0" xr:uid="{0ECAAD5C-401B-4646-96F5-C3728861E2DB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Estimate
Source: https://en.wikipedia.org/wiki/One_Flew_Over_the_Cuckoo%27s_Nest_(novel)</t>
      </text>
    </comment>
    <comment ref="F15" authorId="13" shapeId="0" xr:uid="{83B6120B-2630-409A-91AF-49B778E9B1BA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Estimate — public domain, many editions
Source: https://en.wikipedia.org/wiki/Dracula</t>
      </text>
    </comment>
    <comment ref="F16" authorId="14" shapeId="0" xr:uid="{B86D4297-6D5F-443D-973E-58AF829E87BE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https://en.wikipedia.org/wiki/Jurassic_Park_(novel)</t>
      </text>
    </comment>
    <comment ref="F17" authorId="15" shapeId="0" xr:uid="{727889FF-4290-4EB3-B645-DDB6FC93B145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https://en.wikipedia.org/wiki/The_Great_Gatsby</t>
      </text>
    </comment>
    <comment ref="F18" authorId="16" shapeId="0" xr:uid="{0B2466C3-862F-4AC0-993C-B4394D526134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No official figure published
Source: https://en.wikipedia.org/wiki/Fight_Club_(novel)</t>
      </text>
    </comment>
    <comment ref="F19" authorId="17" shapeId="0" xr:uid="{D1FCF3E1-5CA2-4339-AFF8-F86FB3AD2610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No official figure published
Source: https://en.wikipedia.org/wiki/Do_Androids_Dream_of_Electric_Sheep%3F</t>
      </text>
    </comment>
    <comment ref="F20" authorId="18" shapeId="0" xr:uid="{5866352A-1058-480F-8F76-53019CCC7DBB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Estimate
Source: https://en.wikipedia.org/wiki/Schindler%27s_Ark</t>
      </text>
    </comment>
    <comment ref="F21" authorId="19" shapeId="0" xr:uid="{C87D4190-8045-4FF8-B369-BF650C997774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Estimate
Source: https://en.wikipedia.org/wiki/The_Handmaid%27s_Tale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Research Notes</author>
  </authors>
  <commentList>
    <comment ref="H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Box Office: https://www.boxofficemojo.com/title/tt0120737/
IMDb: https://www.imdb.com/title/tt0120737/</t>
        </r>
      </text>
    </comment>
    <comment ref="H3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Box Office: https://www.boxofficemojo.com/title/tt0241527/
IMDb: https://www.imdb.com/title/tt0241527/</t>
        </r>
      </text>
    </comment>
    <comment ref="H4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Note: One of highest-grossing films of all time when adjusted for inflation (~$3.7B).
Box Office: https://www.boxofficemojo.com/title/tt0031381/
IMDb: https://www.imdb.com/title/tt0031381/</t>
        </r>
      </text>
    </comment>
    <comment ref="H5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Box Office: https://www.boxofficemojo.com/title/tt1392170/
IMDb: https://www.imdb.com/title/tt1392170/</t>
        </r>
      </text>
    </comment>
    <comment ref="H6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Note: Limited international release in 1972, total includes re-releases.
Box Office: https://www.boxofficemojo.com/title/tt0068646/
IMDb: https://www.imdb.com/title/tt0068646/</t>
        </r>
      </text>
    </comment>
    <comment ref="H7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Note: 1962 box office, very limited compared to modern figures.
Box Office: https://www.boxofficemojo.com/title/tt0056592/
IMDb: https://www.imdb.com/title/tt0056592/</t>
        </r>
      </text>
    </comment>
    <comment ref="H8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Note: 2005 Joe Wright adaptation (most popular modern version).
Box Office: https://www.boxofficemojo.com/title/tt0414387/
IMDb: https://www.imdb.com/title/tt0414387/</t>
        </r>
      </text>
    </comment>
    <comment ref="H9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Box Office: https://www.boxofficemojo.com/title/tt0102926/
IMDb: https://www.imdb.com/title/tt0102926/</t>
        </r>
      </text>
    </comment>
    <comment ref="H10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Note: Original 1980 release. Stanley Kubrick adaptation.
Box Office: https://www.boxofficemojo.com/title/tt0081505/
IMDb: https://www.imdb.com/title/tt0081505/</t>
        </r>
      </text>
    </comment>
    <comment ref="H11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Note: David Fincher Hollywood version (Swedish original = $104M).
Box Office: https://www.boxofficemojo.com/title/tt1568346/
IMDb: https://www.imdb.com/title/tt1568346/</t>
        </r>
      </text>
    </comment>
    <comment ref="H12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Note: HBO TV series, NOT a feature film. No box office figure available.
IMDb: https://www.imdb.com/title/tt0944947/</t>
        </r>
      </text>
    </comment>
    <comment ref="H13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Note: 2013 Baz Luhrmann adaptation.
Box Office: https://www.boxofficemojo.com/title/tt1343092/
IMDb: https://www.imdb.com/title/tt1343092/</t>
        </r>
      </text>
    </comment>
    <comment ref="H14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Box Office: https://www.boxofficemojo.com/title/tt0073486/
IMDb: https://www.imdb.com/title/tt0073486/</t>
        </r>
      </text>
    </comment>
    <comment ref="H15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Box Office: https://www.boxofficemojo.com/title/tt0107290/
IMDb: https://www.imdb.com/title/tt0107290/</t>
        </r>
      </text>
    </comment>
    <comment ref="H16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Box Office: https://www.boxofficemojo.com/title/tt0137523/
IMDb: https://www.imdb.com/title/tt0137523/</t>
        </r>
      </text>
    </comment>
    <comment ref="H17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Note: Hulu TV series, NOT a feature film. No box office figure available.
(1990 film adaptation grossed only $5M).
IMDb: https://www.imdb.com/title/tt5834204/</t>
        </r>
      </text>
    </comment>
    <comment ref="H18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Note: 1992 Coppola adaptation (most successful Dracula film).
Box Office: https://www.boxofficemojo.com/title/tt0103874/
IMDb: https://www.imdb.com/title/tt0103874/</t>
        </r>
      </text>
    </comment>
    <comment ref="H19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Box Office: https://www.boxofficemojo.com/title/tt0108052/
IMDb: https://www.imdb.com/title/tt0108052/</t>
        </r>
      </text>
    </comment>
    <comment ref="H20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Note: 1982 original release. The book inspired Blade Runner.
Box Office: https://www.boxofficemojo.com/title/tt0083658/
IMDb: https://www.imdb.com/title/tt0083658/</t>
        </r>
      </text>
    </comment>
    <comment ref="H21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Box Office: https://www.boxofficemojo.com/title/tt0332280/
IMDb: https://www.imdb.com/title/tt0332280/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9EA03B-975E-45A1-B9BD-379A2182F0D0}" keepAlive="1" name="Query - A Game of Thrones" description="Connection to the 'A Game of Thrones' query in the workbook." type="5" refreshedVersion="8" background="1" saveData="1">
    <dbPr connection="Provider=Microsoft.Mashup.OleDb.1;Data Source=$Workbook$;Location=&quot;A Game of Thrones&quot;;Extended Properties=&quot;&quot;" command="SELECT * FROM [A Game of Thrones]"/>
  </connection>
  <connection id="2" xr16:uid="{9BF61499-C5F1-4FB1-B256-9FFC320F9949}" keepAlive="1" name="Query - Book Data" description="Connection to the 'Book Data' query in the workbook." type="5" refreshedVersion="8" background="1" saveData="1">
    <dbPr connection="Provider=Microsoft.Mashup.OleDb.1;Data Source=$Workbook$;Location=&quot;Book Data&quot;;Extended Properties=&quot;&quot;" command="SELECT * FROM [Book Data]"/>
  </connection>
  <connection id="3" xr16:uid="{F79EA34E-5F8D-4318-9EE7-21CBA8F76C8A}" keepAlive="1" name="Query - Do Androids Dream of Electric Sheep?" description="Connection to the 'Do Androids Dream of Electric Sheep?' query in the workbook." type="5" refreshedVersion="8" background="1" saveData="1">
    <dbPr connection="Provider=Microsoft.Mashup.OleDb.1;Data Source=$Workbook$;Location=&quot;Do Androids Dream of Electric Sheep?&quot;;Extended Properties=&quot;&quot;" command="SELECT * FROM [Do Androids Dream of Electric Sheep?]"/>
  </connection>
  <connection id="4" xr16:uid="{8D4FCD54-942D-4989-8157-6B4F091716E6}" keepAlive="1" name="Query - Dracula" description="Connection to the 'Dracula' query in the workbook." type="5" refreshedVersion="8" background="1" saveData="1">
    <dbPr connection="Provider=Microsoft.Mashup.OleDb.1;Data Source=$Workbook$;Location=Dracula;Extended Properties=&quot;&quot;" command="SELECT * FROM [Dracula]"/>
  </connection>
  <connection id="5" xr16:uid="{0D792E84-93E7-47F2-BA0E-1B116000ED32}" keepAlive="1" name="Query - Fight Club" description="Connection to the 'Fight Club' query in the workbook." type="5" refreshedVersion="8" background="1" saveData="1">
    <dbPr connection="Provider=Microsoft.Mashup.OleDb.1;Data Source=$Workbook$;Location=&quot;Fight Club&quot;;Extended Properties=&quot;&quot;" command="SELECT * FROM [Fight Club]"/>
  </connection>
  <connection id="6" xr16:uid="{E8D06245-EFE1-4571-BCBC-CF26340AD823}" keepAlive="1" name="Query - Gone With the Wind" description="Connection to the 'Gone With the Wind' query in the workbook." type="5" refreshedVersion="8" background="1" saveData="1">
    <dbPr connection="Provider=Microsoft.Mashup.OleDb.1;Data Source=$Workbook$;Location=&quot;Gone With the Wind&quot;;Extended Properties=&quot;&quot;" command="SELECT * FROM [Gone With the Wind]"/>
  </connection>
  <connection id="7" xr16:uid="{4CB44DE1-B2A4-429D-8DC3-82314D42E4B6}" keepAlive="1" name="Query - Harry Potter and the Sorcerer's Stone" description="Connection to the 'Harry Potter and the Sorcerer's Stone' query in the workbook." type="5" refreshedVersion="8" background="1" saveData="1">
    <dbPr connection="Provider=Microsoft.Mashup.OleDb.1;Data Source=$Workbook$;Location=&quot;Harry Potter and the Sorcerer's Stone&quot;;Extended Properties=&quot;&quot;" command="SELECT * FROM [Harry Potter and the Sorcerer's Stone]"/>
  </connection>
  <connection id="8" xr16:uid="{5985D45A-B0C2-4682-967F-599CEC05BAE3}" keepAlive="1" name="Query - Jurassic Park" description="Connection to the 'Jurassic Park' query in the workbook." type="5" refreshedVersion="8" background="1" saveData="1">
    <dbPr connection="Provider=Microsoft.Mashup.OleDb.1;Data Source=$Workbook$;Location=&quot;Jurassic Park&quot;;Extended Properties=&quot;&quot;" command="SELECT * FROM [Jurassic Park]"/>
  </connection>
  <connection id="9" xr16:uid="{6D2F41D5-431F-4EFE-93A2-D4824105178B}" keepAlive="1" name="Query - One Flew Over the Cuckoo's Nest" description="Connection to the 'One Flew Over the Cuckoo's Nest' query in the workbook." type="5" refreshedVersion="8" background="1" saveData="1">
    <dbPr connection="Provider=Microsoft.Mashup.OleDb.1;Data Source=$Workbook$;Location=&quot;One Flew Over the Cuckoo's Nest&quot;;Extended Properties=&quot;&quot;" command="SELECT * FROM [One Flew Over the Cuckoo's Nest]"/>
  </connection>
  <connection id="10" xr16:uid="{830C92B2-9A67-44EE-94CC-48423F87C2DC}" keepAlive="1" name="Query - Pride and Prejudice" description="Connection to the 'Pride and Prejudice' query in the workbook." type="5" refreshedVersion="8" background="1" saveData="1">
    <dbPr connection="Provider=Microsoft.Mashup.OleDb.1;Data Source=$Workbook$;Location=&quot;Pride and Prejudice&quot;;Extended Properties=&quot;&quot;" command="SELECT * FROM [Pride and Prejudice]"/>
  </connection>
  <connection id="11" xr16:uid="{BF5DD7E8-4D90-489D-9EF6-1C281C511932}" keepAlive="1" name="Query - The Girl With the Dragon Tattoo" description="Connection to the 'The Girl With the Dragon Tattoo' query in the workbook." type="5" refreshedVersion="8" background="1" saveData="1">
    <dbPr connection="Provider=Microsoft.Mashup.OleDb.1;Data Source=$Workbook$;Location=&quot;The Girl With the Dragon Tattoo&quot;;Extended Properties=&quot;&quot;" command="SELECT * FROM [The Girl With the Dragon Tattoo]"/>
  </connection>
  <connection id="12" xr16:uid="{5071D9A2-51E3-49D6-ABEF-4E6B5734202C}" keepAlive="1" name="Query - The GodFather" description="Connection to the 'The GodFather' query in the workbook." type="5" refreshedVersion="8" background="1" saveData="1">
    <dbPr connection="Provider=Microsoft.Mashup.OleDb.1;Data Source=$Workbook$;Location=&quot;The GodFather&quot;;Extended Properties=&quot;&quot;" command="SELECT * FROM [The GodFather]"/>
  </connection>
  <connection id="13" xr16:uid="{7067B469-7E78-4536-89E9-2A88FD982597}" keepAlive="1" name="Query - The Great Gatsby" description="Connection to the 'The Great Gatsby' query in the workbook." type="5" refreshedVersion="8" background="1" saveData="1">
    <dbPr connection="Provider=Microsoft.Mashup.OleDb.1;Data Source=$Workbook$;Location=&quot;The Great Gatsby&quot;;Extended Properties=&quot;&quot;" command="SELECT * FROM [The Great Gatsby]"/>
  </connection>
  <connection id="14" xr16:uid="{7A8D977F-DABF-4B4F-A037-B70BDB4ADD46}" keepAlive="1" name="Query - The Handmaid's Tale" description="Connection to the 'The Handmaid's Tale' query in the workbook." type="5" refreshedVersion="8" background="1" saveData="1">
    <dbPr connection="Provider=Microsoft.Mashup.OleDb.1;Data Source=$Workbook$;Location=&quot;The Handmaid's Tale&quot;;Extended Properties=&quot;&quot;" command="SELECT * FROM [The Handmaid's Tale]"/>
  </connection>
  <connection id="15" xr16:uid="{47BB0EF0-4561-40DF-97A3-CE3DB8C3604C}" keepAlive="1" name="Query - The Hunger Games (The Hunger Games, #1)" description="Connection to the 'The Hunger Games (The Hunger Games, #1)' query in the workbook." type="5" refreshedVersion="8" background="1" saveData="1">
    <dbPr connection="Provider=Microsoft.Mashup.OleDb.1;Data Source=$Workbook$;Location=&quot;The Hunger Games (The Hunger Games, #1)&quot;;Extended Properties=&quot;&quot;" command="SELECT * FROM [The Hunger Games (The Hunger Games, #1)]"/>
  </connection>
  <connection id="16" xr16:uid="{6987D86E-C0B5-4397-8D67-DB3C824DAA62}" keepAlive="1" name="Query - The Lord of the Rings (The Lord of the Rings, #1-3)-RATING" description="Connection to the 'The Lord of the Rings (The Lord of the Rings, #1-3)-RATING' query in the workbook." type="5" refreshedVersion="8" background="1" saveData="1">
    <dbPr connection="Provider=Microsoft.Mashup.OleDb.1;Data Source=$Workbook$;Location=&quot;The Lord of the Rings (The Lord of the Rings, #1-3)-RATING&quot;;Extended Properties=&quot;&quot;" command="SELECT * FROM [The Lord of the Rings (The Lord of the Rings, #1-3)-RATING]"/>
  </connection>
  <connection id="17" xr16:uid="{455D7D86-C0C1-4575-B954-9DCAAE93A67B}" keepAlive="1" name="Query - The Notebook" description="Connection to the 'The Notebook' query in the workbook." type="5" refreshedVersion="8" background="1" saveData="1">
    <dbPr connection="Provider=Microsoft.Mashup.OleDb.1;Data Source=$Workbook$;Location=&quot;The Notebook&quot;;Extended Properties=&quot;&quot;" command="SELECT * FROM [The Notebook]"/>
  </connection>
  <connection id="18" xr16:uid="{796C8FE8-8826-4DD3-A574-878E0358E345}" keepAlive="1" name="Query - The Shining" description="Connection to the 'The Shining' query in the workbook." type="5" refreshedVersion="8" background="1" saveData="1">
    <dbPr connection="Provider=Microsoft.Mashup.OleDb.1;Data Source=$Workbook$;Location=&quot;The Shining&quot;;Extended Properties=&quot;&quot;" command="SELECT * FROM [The Shining]"/>
  </connection>
  <connection id="19" xr16:uid="{E3637275-315D-42A0-8698-D4D6E97115C2}" keepAlive="1" name="Query - The Silence of the Lambs" description="Connection to the 'The Silence of the Lambs' query in the workbook." type="5" refreshedVersion="8" background="1" saveData="1">
    <dbPr connection="Provider=Microsoft.Mashup.OleDb.1;Data Source=$Workbook$;Location=&quot;The Silence of the Lambs&quot;;Extended Properties=&quot;&quot;" command="SELECT * FROM [The Silence of the Lambs]"/>
  </connection>
  <connection id="20" xr16:uid="{871F6214-AF3F-46AA-B003-C83B8BE33C81}" keepAlive="1" name="Query - To Kill A Mockingbird" description="Connection to the 'To Kill A Mockingbird' query in the workbook." type="5" refreshedVersion="8" background="1" saveData="1">
    <dbPr connection="Provider=Microsoft.Mashup.OleDb.1;Data Source=$Workbook$;Location=&quot;To Kill A Mockingbird&quot;;Extended Properties=&quot;&quot;" command="SELECT * FROM [To Kill A Mockingbird]"/>
  </connection>
</connections>
</file>

<file path=xl/sharedStrings.xml><?xml version="1.0" encoding="utf-8"?>
<sst xmlns="http://schemas.openxmlformats.org/spreadsheetml/2006/main" count="701" uniqueCount="175">
  <si>
    <t>Rank</t>
  </si>
  <si>
    <t>Book Title</t>
  </si>
  <si>
    <t>Author</t>
  </si>
  <si>
    <t>Average Rating</t>
  </si>
  <si>
    <t>Rating Number</t>
  </si>
  <si>
    <t>The Lord of the Rings (The Lord of the Rings, #1-3)</t>
  </si>
  <si>
    <t>J.R.R. Tolkien</t>
  </si>
  <si>
    <t>Harry Potter and the Sorcerer's Stone (Harry Potter, #1)</t>
  </si>
  <si>
    <t>J.K. Rowling</t>
  </si>
  <si>
    <t>Gone with the Wind</t>
  </si>
  <si>
    <t>Margaret Mitchell</t>
  </si>
  <si>
    <t>The Hunger Games (The Hunger Games, #1)</t>
  </si>
  <si>
    <t>Suzanne Collins</t>
  </si>
  <si>
    <t>The Godfather (The Godfather, #1)</t>
  </si>
  <si>
    <t>Mario Puzo</t>
  </si>
  <si>
    <t>To Kill a Mockingbird</t>
  </si>
  <si>
    <t>Harper Lee</t>
  </si>
  <si>
    <t>Pride and Prejudice</t>
  </si>
  <si>
    <t>Jane Austen</t>
  </si>
  <si>
    <t>The Girl With the Dragon Tattoo (Millennium, #1)</t>
  </si>
  <si>
    <t>Stieg Larsson</t>
  </si>
  <si>
    <t>A Game of Thrones (A Song of Ice and Fire, #1)</t>
  </si>
  <si>
    <t>George R.R. Martin</t>
  </si>
  <si>
    <t>The Shining (The Shining, #1)</t>
  </si>
  <si>
    <t>The Notebook (The Notebook, #1)</t>
  </si>
  <si>
    <t>Nicholas Sparks</t>
  </si>
  <si>
    <t>Ken Kesey</t>
  </si>
  <si>
    <t>Dracula</t>
  </si>
  <si>
    <t>Bram Stoker</t>
  </si>
  <si>
    <t>Jurassic Park (Jurassic Park, #1)</t>
  </si>
  <si>
    <t>Michael Crichton</t>
  </si>
  <si>
    <t>The Great Gatsby</t>
  </si>
  <si>
    <t>F. Scott Fitzgerald</t>
  </si>
  <si>
    <t>Fight Club</t>
  </si>
  <si>
    <t>Chuck Palahniuk</t>
  </si>
  <si>
    <t>Do Androids Dream of Electric Sheep?</t>
  </si>
  <si>
    <t>Philip K. Dick</t>
  </si>
  <si>
    <t>Thomas Keneally</t>
  </si>
  <si>
    <t>Margaret Atwood</t>
  </si>
  <si>
    <t>Thomas Harris</t>
  </si>
  <si>
    <t>Stephen King</t>
  </si>
  <si>
    <t>One Flew Over the Cuckoo's Nest</t>
  </si>
  <si>
    <t>Schindler's List</t>
  </si>
  <si>
    <t>The Handmaid's Tale (The Handmaid's Tale, #1)</t>
  </si>
  <si>
    <t>The Silence of the Lambs (Hannibal Lecter, #2)</t>
  </si>
  <si>
    <t>Rating</t>
  </si>
  <si>
    <t>Rating number</t>
  </si>
  <si>
    <t>5 stars</t>
  </si>
  <si>
    <t>4 stars</t>
  </si>
  <si>
    <t>3 stars</t>
  </si>
  <si>
    <t>2 stars</t>
  </si>
  <si>
    <t>1 star</t>
  </si>
  <si>
    <t>The Notebook</t>
  </si>
  <si>
    <t>The Handmaid's Tale</t>
  </si>
  <si>
    <t>Jurassic Park</t>
  </si>
  <si>
    <t>A Game of Thrones</t>
  </si>
  <si>
    <t>The Girl with the Dragon Tattoo</t>
  </si>
  <si>
    <t>The Shining</t>
  </si>
  <si>
    <t>The Silence of the Lambs</t>
  </si>
  <si>
    <t>The Godfather</t>
  </si>
  <si>
    <t>The Hunger Games</t>
  </si>
  <si>
    <t>Harry Potter and the Sorcerer's Stone</t>
  </si>
  <si>
    <t>The Lord of the Rings</t>
  </si>
  <si>
    <t>Copies Sold (millions)</t>
  </si>
  <si>
    <t>#</t>
  </si>
  <si>
    <t>Blade Runner</t>
  </si>
  <si>
    <t>Bram Stoker's Dracula</t>
  </si>
  <si>
    <t>N/A</t>
  </si>
  <si>
    <t>Game of Thrones</t>
  </si>
  <si>
    <t>Pride &amp; Prejudice</t>
  </si>
  <si>
    <t>The Lord of the Rings: The Fellowship of the Ring</t>
  </si>
  <si>
    <t>Box Office (millions $)</t>
  </si>
  <si>
    <t>IMDb Votes (millions)</t>
  </si>
  <si>
    <t>IMDb Rating</t>
  </si>
  <si>
    <t>Year</t>
  </si>
  <si>
    <t>Movie Title</t>
  </si>
  <si>
    <t>Rating  Number</t>
  </si>
  <si>
    <t>Director</t>
  </si>
  <si>
    <t>Peter Jackson</t>
  </si>
  <si>
    <t>Chris Columbus</t>
  </si>
  <si>
    <t>Victor Fleming</t>
  </si>
  <si>
    <t>Gary Ross</t>
  </si>
  <si>
    <t>Francis Ford Coppola</t>
  </si>
  <si>
    <t>Robert Mulligan</t>
  </si>
  <si>
    <t>Joe Wright</t>
  </si>
  <si>
    <t>Jonathan Demme</t>
  </si>
  <si>
    <t>Stanley Kubrick</t>
  </si>
  <si>
    <t>David Fincher</t>
  </si>
  <si>
    <t xml:space="preserve">David Benioff &amp; D.B. Weiss </t>
  </si>
  <si>
    <t>Baz Luhrmann</t>
  </si>
  <si>
    <t>Miloš Forman</t>
  </si>
  <si>
    <t>Steven Spielberg</t>
  </si>
  <si>
    <t>Bruce Miller</t>
  </si>
  <si>
    <t>Ridley Scott</t>
  </si>
  <si>
    <t>Nick Cassavetes</t>
  </si>
  <si>
    <t xml:space="preserve">2 stars </t>
  </si>
  <si>
    <t>6 stars</t>
  </si>
  <si>
    <t>7 stars</t>
  </si>
  <si>
    <t>8 stars</t>
  </si>
  <si>
    <t>9 stars</t>
  </si>
  <si>
    <t>10 stars</t>
  </si>
  <si>
    <t xml:space="preserve">Rating Number </t>
  </si>
  <si>
    <t>📚 BOOK vs MOVIE DASHBOARD 🎬</t>
  </si>
  <si>
    <t>SELECT A BOOK ▼</t>
  </si>
  <si>
    <t>📚 BOOK</t>
  </si>
  <si>
    <t>🎬 MOVIE</t>
  </si>
  <si>
    <t>Genre</t>
  </si>
  <si>
    <t>Fantasy</t>
  </si>
  <si>
    <t>Historical Fiction</t>
  </si>
  <si>
    <t>Dystopian</t>
  </si>
  <si>
    <t>Crime Fiction</t>
  </si>
  <si>
    <t>Classic Fiction</t>
  </si>
  <si>
    <t>Classic Romance</t>
  </si>
  <si>
    <t>Psychological Thriller</t>
  </si>
  <si>
    <t>Mystery Thriller</t>
  </si>
  <si>
    <t>Horror</t>
  </si>
  <si>
    <t>Romance</t>
  </si>
  <si>
    <t>Psychological Fiction</t>
  </si>
  <si>
    <t>Science Fiction</t>
  </si>
  <si>
    <t>Title :</t>
  </si>
  <si>
    <t xml:space="preserve">Title : </t>
  </si>
  <si>
    <t>Author :</t>
  </si>
  <si>
    <t>Avg Rating :</t>
  </si>
  <si>
    <t>Director :</t>
  </si>
  <si>
    <t>Genre :</t>
  </si>
  <si>
    <t>IMDb Rating :</t>
  </si>
  <si>
    <t>No. Ratings :</t>
  </si>
  <si>
    <t>No. Votes :</t>
  </si>
  <si>
    <t>Copies Sold (mil. $) :</t>
  </si>
  <si>
    <t>Box Office (mil. $):</t>
  </si>
  <si>
    <t>Title</t>
  </si>
  <si>
    <t>Book Sheet</t>
  </si>
  <si>
    <t>Film Sheet</t>
  </si>
  <si>
    <t>The Lord of the Rings (The Lord</t>
  </si>
  <si>
    <t>Film - The Lord of the Rings T</t>
  </si>
  <si>
    <t>Harry Potter and the Sorcerer's</t>
  </si>
  <si>
    <t>Film - Harry Potter and the Sor</t>
  </si>
  <si>
    <t>Gone With the Wind</t>
  </si>
  <si>
    <t>Film - Gone with the Wind</t>
  </si>
  <si>
    <t>The Hunger Games (The Hunger Ga</t>
  </si>
  <si>
    <t>Film - The Hunger Games</t>
  </si>
  <si>
    <t>The GodFather</t>
  </si>
  <si>
    <t>Film - The Godfather</t>
  </si>
  <si>
    <t>To Kill A Mockingbird</t>
  </si>
  <si>
    <t>Film - To Kill a Mockingbird</t>
  </si>
  <si>
    <t>Film - Pride &amp; Prejudice</t>
  </si>
  <si>
    <t>Film - The Silence of the Lambs</t>
  </si>
  <si>
    <t>The Girl With the Dragon Tattoo</t>
  </si>
  <si>
    <t>Film - The Girl with the Dragon</t>
  </si>
  <si>
    <t>Film - Game of Thrones</t>
  </si>
  <si>
    <t>Film - The Shining</t>
  </si>
  <si>
    <t>Film - The Notebook</t>
  </si>
  <si>
    <t>Film - One Flew Over the Cuckoo</t>
  </si>
  <si>
    <t>Film - Bram Stoker's Dracula</t>
  </si>
  <si>
    <t>Film - Jurassic Park</t>
  </si>
  <si>
    <t>Film - The Great Gatsby</t>
  </si>
  <si>
    <t>Film - Fight Club</t>
  </si>
  <si>
    <t>Do Androids Dream of Electric S</t>
  </si>
  <si>
    <t>Film - Blade Runner</t>
  </si>
  <si>
    <t>Film - Schindler's List</t>
  </si>
  <si>
    <t>Film - The Handmaid's Tale</t>
  </si>
  <si>
    <t>1★</t>
  </si>
  <si>
    <t>2★</t>
  </si>
  <si>
    <t>3★</t>
  </si>
  <si>
    <t>4★</t>
  </si>
  <si>
    <t>5★</t>
  </si>
  <si>
    <t>10★</t>
  </si>
  <si>
    <t>9★</t>
  </si>
  <si>
    <t>8★</t>
  </si>
  <si>
    <t>7★</t>
  </si>
  <si>
    <t>6★</t>
  </si>
  <si>
    <t>Goodreads Stars</t>
  </si>
  <si>
    <t>Number</t>
  </si>
  <si>
    <t>IMDb Stars</t>
  </si>
  <si>
    <t>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</si>
</sst>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&quot;M&quot;"/>
    <numFmt numFmtId="166" formatCode="&quot;$&quot;#,##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rgb="FFA0A0A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E94560"/>
      <name val="Aptos Narrow"/>
      <family val="2"/>
      <scheme val="minor"/>
    </font>
    <font>
      <sz val="26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F3460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262626"/>
        <bgColor indexed="64"/>
      </patternFill>
    </fill>
  </fills>
  <borders count="1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/>
      <diagonal/>
    </border>
    <border>
      <left style="thin">
        <color rgb="FF44B3E1"/>
      </left>
      <right/>
      <top/>
      <bottom style="thin">
        <color rgb="FF44B3E1"/>
      </bottom>
      <diagonal/>
    </border>
    <border>
      <left style="thin">
        <color rgb="FF44B3E1"/>
      </left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/>
      <diagonal/>
    </border>
    <border>
      <left/>
      <right style="thin">
        <color rgb="FF44B3E1"/>
      </right>
      <top/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 style="thin">
        <color rgb="FF44B3E1"/>
      </right>
      <top/>
      <bottom style="thin">
        <color rgb="FF44B3E1"/>
      </bottom>
      <diagonal/>
    </border>
    <border>
      <left style="thin">
        <color rgb="FF44B3E1"/>
      </left>
      <right style="thin">
        <color rgb="FF44B3E1"/>
      </right>
      <top style="thin">
        <color rgb="FF44B3E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ck">
        <color rgb="FFE945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164" fontId="0" fillId="0" borderId="0" xfId="1" applyNumberFormat="1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/>
    </xf>
    <xf numFmtId="0" fontId="3" fillId="7" borderId="6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2" fontId="4" fillId="6" borderId="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center" vertical="center"/>
    </xf>
    <xf numFmtId="2" fontId="4" fillId="6" borderId="9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7" borderId="8" xfId="1" applyNumberFormat="1" applyFont="1" applyFill="1" applyBorder="1" applyAlignment="1">
      <alignment horizontal="center" vertical="center" wrapText="1"/>
    </xf>
    <xf numFmtId="164" fontId="4" fillId="5" borderId="4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/>
    </xf>
    <xf numFmtId="164" fontId="4" fillId="6" borderId="9" xfId="1" applyNumberFormat="1" applyFont="1" applyFill="1" applyBorder="1" applyAlignment="1">
      <alignment horizontal="center" vertical="center"/>
    </xf>
    <xf numFmtId="0" fontId="0" fillId="9" borderId="10" xfId="0" applyFill="1" applyBorder="1"/>
    <xf numFmtId="0" fontId="0" fillId="0" borderId="10" xfId="0" applyBorder="1"/>
    <xf numFmtId="0" fontId="5" fillId="8" borderId="11" xfId="0" applyFont="1" applyFill="1" applyBorder="1"/>
    <xf numFmtId="164" fontId="5" fillId="8" borderId="12" xfId="1" applyNumberFormat="1" applyFont="1" applyFill="1" applyBorder="1"/>
    <xf numFmtId="3" fontId="0" fillId="0" borderId="0" xfId="0" applyNumberFormat="1"/>
    <xf numFmtId="0" fontId="8" fillId="10" borderId="13" xfId="0" applyFont="1" applyFill="1" applyBorder="1" applyAlignment="1" applyProtection="1">
      <alignment horizontal="center"/>
      <protection locked="0"/>
    </xf>
    <xf numFmtId="0" fontId="7" fillId="10" borderId="0" xfId="0" applyFont="1" applyFill="1" applyProtection="1"/>
    <xf numFmtId="0" fontId="8" fillId="11" borderId="0" xfId="0" applyFont="1" applyFill="1" applyAlignment="1" applyProtection="1">
      <alignment horizontal="center"/>
    </xf>
    <xf numFmtId="0" fontId="9" fillId="12" borderId="0" xfId="0" applyFont="1" applyFill="1" applyAlignment="1" applyProtection="1">
      <alignment horizontal="left"/>
    </xf>
    <xf numFmtId="0" fontId="10" fillId="12" borderId="0" xfId="0" applyFont="1" applyFill="1" applyAlignment="1" applyProtection="1">
      <alignment horizontal="left"/>
    </xf>
    <xf numFmtId="3" fontId="10" fillId="12" borderId="0" xfId="0" applyNumberFormat="1" applyFont="1" applyFill="1" applyAlignment="1" applyProtection="1">
      <alignment horizontal="left"/>
    </xf>
    <xf numFmtId="165" fontId="10" fillId="12" borderId="0" xfId="0" applyNumberFormat="1" applyFont="1" applyFill="1" applyAlignment="1" applyProtection="1">
      <alignment horizontal="left"/>
    </xf>
    <xf numFmtId="166" fontId="10" fillId="12" borderId="0" xfId="0" applyNumberFormat="1" applyFont="1" applyFill="1" applyAlignment="1" applyProtection="1">
      <alignment horizontal="left"/>
    </xf>
    <xf numFmtId="0" fontId="0" fillId="13" borderId="0" xfId="0" applyFill="1" applyProtection="1"/>
    <xf numFmtId="0" fontId="12" fillId="10" borderId="0" xfId="0" applyFont="1" applyFill="1" applyProtection="1"/>
    <xf numFmtId="0" fontId="13" fillId="10" borderId="0" xfId="0" applyFont="1" applyFill="1" applyAlignment="1" applyProtection="1">
      <alignment horizontal="center"/>
    </xf>
    <xf numFmtId="0" fontId="11" fillId="10" borderId="0" xfId="0" applyFont="1" applyFill="1" applyAlignment="1" applyProtection="1">
      <alignment horizontal="center"/>
    </xf>
  </cellXfs>
  <cellStyles count="2">
    <cellStyle name="Comma" xfId="1" builtinId="3"/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(* #,##0_);_(* \(#,##0\);_(* &quot;-&quot;??_);_(@_)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 style="thin">
          <color rgb="FF44B3E1"/>
        </bottom>
        <vertical style="thin">
          <color rgb="FF44B3E1"/>
        </vertical>
        <horizontal style="thin">
          <color rgb="FF44B3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_(* #,##0_);_(* \(#,##0\);_(* &quot;-&quot;??_);_(@_)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vertical style="thin">
          <color rgb="FF44B3E1"/>
        </vertical>
        <horizontal style="thin">
          <color rgb="FF44B3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vertical style="thin">
          <color rgb="FF44B3E1"/>
        </vertical>
        <horizontal style="thin">
          <color rgb="FF44B3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vertical style="thin">
          <color rgb="FF44B3E1"/>
        </vertical>
        <horizontal style="thin">
          <color rgb="FF44B3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44B3E1"/>
        </right>
        <top style="thin">
          <color rgb="FF44B3E1"/>
        </top>
        <bottom style="thin">
          <color rgb="FF44B3E1"/>
        </bottom>
        <vertical style="thin">
          <color rgb="FF44B3E1"/>
        </vertical>
        <horizontal style="thin">
          <color rgb="FF44B3E1"/>
        </horizontal>
      </border>
    </dxf>
    <dxf>
      <border>
        <top style="thin">
          <color rgb="FF44B3E1"/>
        </top>
      </border>
    </dxf>
    <dxf>
      <border diagonalUp="0" diagonalDown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44B3E1"/>
        </left>
        <right style="thin">
          <color rgb="FF44B3E1"/>
        </right>
        <top/>
        <bottom/>
        <vertical style="thin">
          <color rgb="FF44B3E1"/>
        </vertical>
        <horizontal style="thin">
          <color rgb="FF44B3E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onnections" Target="connections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Lord of the Rings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Lord of the Rings (The Lord'!$B$1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273-4F4C-A162-2AC8C503A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Lord of the Rings (The Lord'!$A$2:$A$6</c:f>
              <c:strCache>
                <c:ptCount val="5"/>
                <c:pt idx="0">
                  <c:v>1 star</c:v>
                </c:pt>
                <c:pt idx="1">
                  <c:v>2 stars</c:v>
                </c:pt>
                <c:pt idx="2">
                  <c:v>3 stars</c:v>
                </c:pt>
                <c:pt idx="3">
                  <c:v>4 stars</c:v>
                </c:pt>
                <c:pt idx="4">
                  <c:v>5 stars</c:v>
                </c:pt>
              </c:strCache>
            </c:strRef>
          </c:cat>
          <c:val>
            <c:numRef>
              <c:f>'The Lord of the Rings (The Lord'!$B$2:$B$6</c:f>
              <c:numCache>
                <c:formatCode>_(* #,##0_);_(* \(#,##0\);_(* "-"??_);_(@_)</c:formatCode>
                <c:ptCount val="5"/>
                <c:pt idx="0">
                  <c:v>7147</c:v>
                </c:pt>
                <c:pt idx="1">
                  <c:v>13555</c:v>
                </c:pt>
                <c:pt idx="2">
                  <c:v>53778</c:v>
                </c:pt>
                <c:pt idx="3">
                  <c:v>160455</c:v>
                </c:pt>
                <c:pt idx="4">
                  <c:v>503742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3-4F4C-A162-2AC8C503A4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57229168"/>
        <c:axId val="957229648"/>
      </c:barChart>
      <c:catAx>
        <c:axId val="95722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229648"/>
        <c:crosses val="autoZero"/>
        <c:auto val="1"/>
        <c:lblAlgn val="ctr"/>
        <c:lblOffset val="100"/>
        <c:noMultiLvlLbl val="0"/>
      </c:catAx>
      <c:valAx>
        <c:axId val="957229648"/>
        <c:scaling>
          <c:orientation val="minMax"/>
          <c:max val="6000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,&quot;K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22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Harry Potter and the Sorcerer's Stone -Rating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'Harry Potter and the Sorcerer''s'!$B$1</c:f>
              <c:strCache>
                <c:ptCount val="1"/>
                <c:pt idx="0">
                  <c:v>Rating 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'Harry Potter and the Sorcerer''s'!$A$2:$A$6</c:f>
              <c:strCache>
                <c:ptCount val="5"/>
                <c:pt idx="0">
                  <c:v>1 star</c:v>
                </c:pt>
                <c:pt idx="1">
                  <c:v>2 stars</c:v>
                </c:pt>
                <c:pt idx="2">
                  <c:v>3 stars</c:v>
                </c:pt>
                <c:pt idx="3">
                  <c:v>4 stars</c:v>
                </c:pt>
                <c:pt idx="4">
                  <c:v>5 stars</c:v>
                </c:pt>
              </c:strCache>
            </c:strRef>
          </c:cat>
          <c:val>
            <c:numRef>
              <c:f>'Harry Potter and the Sorcerer''s'!$B$2:$B$6</c:f>
              <c:numCache>
                <c:formatCode>General</c:formatCode>
                <c:ptCount val="5"/>
                <c:pt idx="0">
                  <c:v>193502</c:v>
                </c:pt>
                <c:pt idx="1">
                  <c:v>220459</c:v>
                </c:pt>
                <c:pt idx="2">
                  <c:v>988556</c:v>
                </c:pt>
                <c:pt idx="3">
                  <c:v>2735320</c:v>
                </c:pt>
                <c:pt idx="4">
                  <c:v>7440244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6-4CEB-A390-DCA0C6A6C6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85549071"/>
        <c:axId val="1085549551"/>
      </c:barChart>
      <c:catAx>
        <c:axId val="1085549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49551"/>
        <c:crosses val="autoZero"/>
        <c:auto val="1"/>
        <c:lblAlgn val="ctr"/>
        <c:lblOffset val="100"/>
        <c:noMultiLvlLbl val="0"/>
      </c:catAx>
      <c:valAx>
        <c:axId val="10855495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8554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Gone With the Wind - Ranting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'Gone With the Wind'!$B$1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'Gone With the Wind'!$A$2:$A$6</c:f>
              <c:strCache>
                <c:ptCount val="5"/>
                <c:pt idx="0">
                  <c:v>1 star</c:v>
                </c:pt>
                <c:pt idx="1">
                  <c:v>2 stars</c:v>
                </c:pt>
                <c:pt idx="2">
                  <c:v>3 stars</c:v>
                </c:pt>
                <c:pt idx="3">
                  <c:v>4 stars</c:v>
                </c:pt>
                <c:pt idx="4">
                  <c:v>5 stars</c:v>
                </c:pt>
              </c:strCache>
            </c:strRef>
          </c:cat>
          <c:val>
            <c:numRef>
              <c:f>'Gone With the Wind'!$B$2:$B$6</c:f>
              <c:numCache>
                <c:formatCode>General</c:formatCode>
                <c:ptCount val="5"/>
                <c:pt idx="0">
                  <c:v>27777</c:v>
                </c:pt>
                <c:pt idx="1">
                  <c:v>44105</c:v>
                </c:pt>
                <c:pt idx="2">
                  <c:v>151665</c:v>
                </c:pt>
                <c:pt idx="3">
                  <c:v>319713</c:v>
                </c:pt>
                <c:pt idx="4">
                  <c:v>719870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7-41C2-9E39-DF5A3621DF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40711568"/>
        <c:axId val="1740728848"/>
      </c:barChart>
      <c:catAx>
        <c:axId val="1740711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728848"/>
        <c:crosses val="autoZero"/>
        <c:auto val="1"/>
        <c:lblAlgn val="ctr"/>
        <c:lblOffset val="100"/>
        <c:noMultiLvlLbl val="0"/>
      </c:catAx>
      <c:valAx>
        <c:axId val="1740728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4071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Hunger Games #1 -</a:t>
            </a:r>
            <a:r>
              <a:rPr lang="en-US" baseline="0"/>
              <a:t> Rating Distribution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Hunger Games (The Hunger Ga'!$B$1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Hunger Games (The Hunger Ga'!$A$2:$A$6</c:f>
              <c:strCache>
                <c:ptCount val="5"/>
                <c:pt idx="0">
                  <c:v>1 star</c:v>
                </c:pt>
                <c:pt idx="1">
                  <c:v>2 stars</c:v>
                </c:pt>
                <c:pt idx="2">
                  <c:v>3 stars</c:v>
                </c:pt>
                <c:pt idx="3">
                  <c:v>4 stars</c:v>
                </c:pt>
                <c:pt idx="4">
                  <c:v>5 stars</c:v>
                </c:pt>
              </c:strCache>
            </c:strRef>
          </c:cat>
          <c:val>
            <c:numRef>
              <c:f>'The Hunger Games (The Hunger Ga'!$B$2:$B$6</c:f>
              <c:numCache>
                <c:formatCode>_(* #,##0_);_(* \(#,##0\);_(* "-"??_);_(@_)</c:formatCode>
                <c:ptCount val="5"/>
                <c:pt idx="0">
                  <c:v>132601</c:v>
                </c:pt>
                <c:pt idx="1">
                  <c:v>240340</c:v>
                </c:pt>
                <c:pt idx="2">
                  <c:v>1104482</c:v>
                </c:pt>
                <c:pt idx="3">
                  <c:v>3054271</c:v>
                </c:pt>
                <c:pt idx="4">
                  <c:v>5534811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3-4106-B26D-6DCB952B24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2346783"/>
        <c:axId val="102339583"/>
      </c:barChart>
      <c:catAx>
        <c:axId val="102346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39583"/>
        <c:crosses val="autoZero"/>
        <c:auto val="1"/>
        <c:lblAlgn val="ctr"/>
        <c:lblOffset val="100"/>
        <c:noMultiLvlLbl val="0"/>
      </c:catAx>
      <c:valAx>
        <c:axId val="102339583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0234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The</a:t>
            </a:r>
            <a:r>
              <a:rPr lang="en-US" baseline="0"/>
              <a:t> GodFather - </a:t>
            </a:r>
            <a:r>
              <a:rPr lang="en-US"/>
              <a:t>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GodFather'!$B$1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GodFather'!$A$2:$A$6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'The GodFather'!$B$2:$B$6</c:f>
              <c:numCache>
                <c:formatCode>_(* #,##0_);_(* \(#,##0\);_(* "-"??_);_(@_)</c:formatCode>
                <c:ptCount val="5"/>
                <c:pt idx="0">
                  <c:v>271164</c:v>
                </c:pt>
                <c:pt idx="1">
                  <c:v>137019</c:v>
                </c:pt>
                <c:pt idx="2">
                  <c:v>46266</c:v>
                </c:pt>
                <c:pt idx="3">
                  <c:v>10170</c:v>
                </c:pt>
                <c:pt idx="4">
                  <c:v>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5-4629-8D1B-2D5AE190DF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52805504"/>
        <c:axId val="1552804544"/>
      </c:barChart>
      <c:catAx>
        <c:axId val="15528055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804544"/>
        <c:crosses val="autoZero"/>
        <c:auto val="1"/>
        <c:lblAlgn val="ctr"/>
        <c:lblOffset val="100"/>
        <c:noMultiLvlLbl val="0"/>
      </c:catAx>
      <c:valAx>
        <c:axId val="1552804544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55280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 Kill  A Mockingbird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 Kill A Mockingbird'!$B$1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 Kill A Mockingbird'!$A$2:$A$6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'To Kill A Mockingbird'!$B$2:$B$6</c:f>
              <c:numCache>
                <c:formatCode>_(* #,##0_);_(* \(#,##0\);_(* "-"??_);_(@_)</c:formatCode>
                <c:ptCount val="5"/>
                <c:pt idx="0">
                  <c:v>3597983</c:v>
                </c:pt>
                <c:pt idx="1">
                  <c:v>2092922</c:v>
                </c:pt>
                <c:pt idx="2">
                  <c:v>925028</c:v>
                </c:pt>
                <c:pt idx="3">
                  <c:v>241851</c:v>
                </c:pt>
                <c:pt idx="4">
                  <c:v>126635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2-4533-84F3-B24D888080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93670544"/>
        <c:axId val="1493671504"/>
      </c:barChart>
      <c:catAx>
        <c:axId val="14936705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71504"/>
        <c:crosses val="autoZero"/>
        <c:auto val="1"/>
        <c:lblAlgn val="ctr"/>
        <c:lblOffset val="100"/>
        <c:noMultiLvlLbl val="0"/>
      </c:catAx>
      <c:valAx>
        <c:axId val="1493671504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49367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Pride and Prejudice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533671264889574E-2"/>
          <c:y val="0.15054279946972865"/>
          <c:w val="0.83791291628792819"/>
          <c:h val="0.755623586592878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'Pride and Prejudice'!$B$1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'Pride and Prejudice'!$A$2:$A$6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'Pride and Prejudice'!$B$2:$B$6</c:f>
              <c:numCache>
                <c:formatCode>_(* #,##0_);_(* \(#,##0\);_(* "-"??_);_(@_)</c:formatCode>
                <c:ptCount val="5"/>
                <c:pt idx="0">
                  <c:v>2700215</c:v>
                </c:pt>
                <c:pt idx="1">
                  <c:v>1331924</c:v>
                </c:pt>
                <c:pt idx="2">
                  <c:v>580632</c:v>
                </c:pt>
                <c:pt idx="3">
                  <c:v>169365</c:v>
                </c:pt>
                <c:pt idx="4">
                  <c:v>111189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4-40DD-A74B-81D539BED3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8689952"/>
        <c:axId val="1538690432"/>
      </c:barChart>
      <c:catAx>
        <c:axId val="15386899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690432"/>
        <c:crosses val="autoZero"/>
        <c:auto val="1"/>
        <c:lblAlgn val="ctr"/>
        <c:lblOffset val="100"/>
        <c:noMultiLvlLbl val="0"/>
      </c:catAx>
      <c:valAx>
        <c:axId val="1538690432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53868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Silence of the Lambs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Silence of the Lambs'!$B$1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Silence of the Lambs'!$A$2:$A$6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'The Silence of the Lambs'!$B$2:$B$6</c:f>
              <c:numCache>
                <c:formatCode>_(* #,##0_);_(* \(#,##0\);_(* "-"??_);_(@_)</c:formatCode>
                <c:ptCount val="5"/>
                <c:pt idx="0">
                  <c:v>295546</c:v>
                </c:pt>
                <c:pt idx="1">
                  <c:v>196000</c:v>
                </c:pt>
                <c:pt idx="2">
                  <c:v>74186</c:v>
                </c:pt>
                <c:pt idx="3">
                  <c:v>16097</c:v>
                </c:pt>
                <c:pt idx="4">
                  <c:v>11741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0-4284-9BC0-9C1311B85C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41600848"/>
        <c:axId val="1541586448"/>
      </c:barChart>
      <c:catAx>
        <c:axId val="15416008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586448"/>
        <c:crosses val="autoZero"/>
        <c:auto val="1"/>
        <c:lblAlgn val="ctr"/>
        <c:lblOffset val="100"/>
        <c:noMultiLvlLbl val="0"/>
      </c:catAx>
      <c:valAx>
        <c:axId val="1541586448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54160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The</a:t>
            </a:r>
            <a:r>
              <a:rPr lang="en-US" baseline="0"/>
              <a:t> Shining - </a:t>
            </a:r>
            <a:r>
              <a:rPr lang="en-US"/>
              <a:t>Rating Distribution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Shining'!$B$1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Shining'!$A$2:$A$6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'The Shining'!$B$2:$B$6</c:f>
              <c:numCache>
                <c:formatCode>_(* #,##0_);_(* \(#,##0\);_(* "-"??_);_(@_)</c:formatCode>
                <c:ptCount val="5"/>
                <c:pt idx="0">
                  <c:v>886794</c:v>
                </c:pt>
                <c:pt idx="1">
                  <c:v>557008</c:v>
                </c:pt>
                <c:pt idx="2">
                  <c:v>213163</c:v>
                </c:pt>
                <c:pt idx="3">
                  <c:v>47603</c:v>
                </c:pt>
                <c:pt idx="4">
                  <c:v>28869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A-4A01-873D-55DB472F0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8446672"/>
        <c:axId val="1548447152"/>
      </c:barChart>
      <c:catAx>
        <c:axId val="15484466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447152"/>
        <c:crosses val="autoZero"/>
        <c:auto val="1"/>
        <c:lblAlgn val="ctr"/>
        <c:lblOffset val="100"/>
        <c:noMultiLvlLbl val="0"/>
      </c:catAx>
      <c:valAx>
        <c:axId val="1548447152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54844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Girl With the Dragon Tattoo 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Girl With the Dragon Tattoo'!$B$1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Girl With the Dragon Tattoo'!$A$2:$A$6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'The Girl With the Dragon Tattoo'!$B$2:$B$6</c:f>
              <c:numCache>
                <c:formatCode>_(* #,##0_);_(* \(#,##0\);_(* "-"??_);_(@_)</c:formatCode>
                <c:ptCount val="5"/>
                <c:pt idx="0">
                  <c:v>1632451</c:v>
                </c:pt>
                <c:pt idx="1">
                  <c:v>1152649</c:v>
                </c:pt>
                <c:pt idx="2">
                  <c:v>469607</c:v>
                </c:pt>
                <c:pt idx="3">
                  <c:v>134311</c:v>
                </c:pt>
                <c:pt idx="4">
                  <c:v>93029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A-46DE-8594-97807B3D50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1750079"/>
        <c:axId val="91750559"/>
      </c:barChart>
      <c:catAx>
        <c:axId val="917500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50559"/>
        <c:crosses val="autoZero"/>
        <c:auto val="1"/>
        <c:lblAlgn val="ctr"/>
        <c:lblOffset val="100"/>
        <c:noMultiLvlLbl val="0"/>
      </c:catAx>
      <c:valAx>
        <c:axId val="91750559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9175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 Game of Thrones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 Game of Thrones'!$B$1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 Game of Thrones'!$A$2:$A$6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'A Game of Thrones'!$B$2:$B$6</c:f>
              <c:numCache>
                <c:formatCode>_(* #,##0_);_(* \(#,##0\);_(* "-"??_);_(@_)</c:formatCode>
                <c:ptCount val="5"/>
                <c:pt idx="0">
                  <c:v>1703351</c:v>
                </c:pt>
                <c:pt idx="1">
                  <c:v>747409</c:v>
                </c:pt>
                <c:pt idx="2">
                  <c:v>216194</c:v>
                </c:pt>
                <c:pt idx="3">
                  <c:v>57020</c:v>
                </c:pt>
                <c:pt idx="4">
                  <c:v>44703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E-426B-9E36-E6FD1E4FCA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15611936"/>
        <c:axId val="1115612416"/>
      </c:barChart>
      <c:catAx>
        <c:axId val="11156119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612416"/>
        <c:crosses val="autoZero"/>
        <c:auto val="1"/>
        <c:lblAlgn val="ctr"/>
        <c:lblOffset val="100"/>
        <c:noMultiLvlLbl val="0"/>
      </c:catAx>
      <c:valAx>
        <c:axId val="1115612416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11561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Great Gatsby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Great Gatsby'!$B$1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Great Gatsby'!$A$2:$A$6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'The Great Gatsby'!$B$2:$B$6</c:f>
              <c:numCache>
                <c:formatCode>_(* #,##0_);_(* \(#,##0\);_(* "-"??_);_(@_)</c:formatCode>
                <c:ptCount val="5"/>
                <c:pt idx="0">
                  <c:v>2112564</c:v>
                </c:pt>
                <c:pt idx="1">
                  <c:v>2049922</c:v>
                </c:pt>
                <c:pt idx="2">
                  <c:v>1301238</c:v>
                </c:pt>
                <c:pt idx="3">
                  <c:v>383743</c:v>
                </c:pt>
                <c:pt idx="4">
                  <c:v>163293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2-45C5-B8C4-476E9F49DD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948543"/>
        <c:axId val="110942783"/>
      </c:barChart>
      <c:catAx>
        <c:axId val="1109485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42783"/>
        <c:crosses val="autoZero"/>
        <c:auto val="1"/>
        <c:lblAlgn val="ctr"/>
        <c:lblOffset val="100"/>
        <c:noMultiLvlLbl val="0"/>
      </c:catAx>
      <c:valAx>
        <c:axId val="110942783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1094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One Flew Over the Cuckoo’s Nest - 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'One Flew Over the Cuckoo''s Nest'!$B$1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'One Flew Over the Cuckoo''s Nest'!$A$2:$A$6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'One Flew Over the Cuckoo''s Nest'!$B$2:$B$6</c:f>
              <c:numCache>
                <c:formatCode>_(* #,##0_);_(* \(#,##0\);_(* "-"??_);_(@_)</c:formatCode>
                <c:ptCount val="5"/>
                <c:pt idx="0">
                  <c:v>348155</c:v>
                </c:pt>
                <c:pt idx="1">
                  <c:v>288979</c:v>
                </c:pt>
                <c:pt idx="2">
                  <c:v>116427</c:v>
                </c:pt>
                <c:pt idx="3">
                  <c:v>24635</c:v>
                </c:pt>
                <c:pt idx="4">
                  <c:v>8754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0-420C-B6AF-42E065F636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4363551"/>
        <c:axId val="104364031"/>
      </c:barChart>
      <c:catAx>
        <c:axId val="1043635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64031"/>
        <c:crosses val="autoZero"/>
        <c:auto val="1"/>
        <c:lblAlgn val="ctr"/>
        <c:lblOffset val="100"/>
        <c:noMultiLvlLbl val="0"/>
      </c:catAx>
      <c:valAx>
        <c:axId val="104364031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0436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Jurassic Park - 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37314085739281"/>
          <c:y val="0.17171296296296298"/>
          <c:w val="0.82351574803149608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'Jurassic Park'!$B$1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'Jurassic Park'!$A$2:$A$6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'Jurassic Park'!$B$2:$B$6</c:f>
              <c:numCache>
                <c:formatCode>_(* #,##0_);_(* \(#,##0\);_(* "-"??_);_(@_)</c:formatCode>
                <c:ptCount val="5"/>
                <c:pt idx="0">
                  <c:v>460528</c:v>
                </c:pt>
                <c:pt idx="1">
                  <c:v>376689</c:v>
                </c:pt>
                <c:pt idx="2">
                  <c:v>180717</c:v>
                </c:pt>
                <c:pt idx="3">
                  <c:v>40319</c:v>
                </c:pt>
                <c:pt idx="4">
                  <c:v>17971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E-4EB6-B725-9AC89C9A2C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573951"/>
        <c:axId val="94572511"/>
      </c:barChart>
      <c:catAx>
        <c:axId val="945739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72511"/>
        <c:crosses val="autoZero"/>
        <c:auto val="1"/>
        <c:lblAlgn val="ctr"/>
        <c:lblOffset val="100"/>
        <c:noMultiLvlLbl val="0"/>
      </c:catAx>
      <c:valAx>
        <c:axId val="94572511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9457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Fight Club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'Fight Club'!$B$1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'Fight Club'!$A$2:$A$6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'Fight Club'!$B$2:$B$6</c:f>
              <c:numCache>
                <c:formatCode>_(* #,##0_);_(* \(#,##0\);_(* "-"??_);_(@_)</c:formatCode>
                <c:ptCount val="5"/>
                <c:pt idx="0">
                  <c:v>285564</c:v>
                </c:pt>
                <c:pt idx="1">
                  <c:v>236682</c:v>
                </c:pt>
                <c:pt idx="2">
                  <c:v>99656</c:v>
                </c:pt>
                <c:pt idx="3">
                  <c:v>22196</c:v>
                </c:pt>
                <c:pt idx="4">
                  <c:v>7984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A-40C8-AAB5-C5138CEE02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9165312"/>
        <c:axId val="179171552"/>
      </c:barChart>
      <c:catAx>
        <c:axId val="1791653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71552"/>
        <c:crosses val="autoZero"/>
        <c:auto val="1"/>
        <c:lblAlgn val="ctr"/>
        <c:lblOffset val="100"/>
        <c:noMultiLvlLbl val="0"/>
      </c:catAx>
      <c:valAx>
        <c:axId val="179171552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7916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Handmaid’s Tale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Handmaid''s Tale'!$B$1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Handmaid''s Tale'!$A$2:$A$6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'The Handmaid''s Tale'!$B$2:$B$6</c:f>
              <c:numCache>
                <c:formatCode>_(* #,##0_);_(* \(#,##0\);_(* "-"??_);_(@_)</c:formatCode>
                <c:ptCount val="5"/>
                <c:pt idx="0">
                  <c:v>1087503</c:v>
                </c:pt>
                <c:pt idx="1">
                  <c:v>879291</c:v>
                </c:pt>
                <c:pt idx="2">
                  <c:v>371115</c:v>
                </c:pt>
                <c:pt idx="3">
                  <c:v>98132</c:v>
                </c:pt>
                <c:pt idx="4">
                  <c:v>45854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0-419C-A095-7B76CBA07D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5569232"/>
        <c:axId val="945569712"/>
      </c:barChart>
      <c:catAx>
        <c:axId val="9455692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69712"/>
        <c:crosses val="autoZero"/>
        <c:auto val="1"/>
        <c:lblAlgn val="ctr"/>
        <c:lblOffset val="100"/>
        <c:noMultiLvlLbl val="0"/>
      </c:catAx>
      <c:valAx>
        <c:axId val="945569712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94556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Dracula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Dracula!$B$1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Dracula!$A$2:$A$6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Dracula!$B$2:$B$6</c:f>
              <c:numCache>
                <c:formatCode>_(* #,##0_);_(* \(#,##0\);_(* "-"??_);_(@_)</c:formatCode>
                <c:ptCount val="5"/>
                <c:pt idx="0">
                  <c:v>566663</c:v>
                </c:pt>
                <c:pt idx="1">
                  <c:v>533792</c:v>
                </c:pt>
                <c:pt idx="2">
                  <c:v>305058</c:v>
                </c:pt>
                <c:pt idx="3">
                  <c:v>72961</c:v>
                </c:pt>
                <c:pt idx="4">
                  <c:v>26077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F-4741-9110-B5FCD3C93B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06062112"/>
        <c:axId val="906060192"/>
      </c:barChart>
      <c:catAx>
        <c:axId val="9060621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060192"/>
        <c:crosses val="autoZero"/>
        <c:auto val="1"/>
        <c:lblAlgn val="ctr"/>
        <c:lblOffset val="100"/>
        <c:noMultiLvlLbl val="0"/>
      </c:catAx>
      <c:valAx>
        <c:axId val="906060192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90606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Do Androids Dream of Electric Sheep? - Rating Distribution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'Do Androids Dream of Electric S'!$B$1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 Androids Dream of Electric S'!$A$2:$A$6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'Do Androids Dream of Electric S'!$B$2:$B$6</c:f>
              <c:numCache>
                <c:formatCode>_(* #,##0_);_(* \(#,##0\);_(* "-"??_);_(@_)</c:formatCode>
                <c:ptCount val="5"/>
                <c:pt idx="0">
                  <c:v>190382</c:v>
                </c:pt>
                <c:pt idx="1">
                  <c:v>214531</c:v>
                </c:pt>
                <c:pt idx="2">
                  <c:v>94920</c:v>
                </c:pt>
                <c:pt idx="3">
                  <c:v>17843</c:v>
                </c:pt>
                <c:pt idx="4">
                  <c:v>4387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3-47FB-8A02-589135F76D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56465776"/>
        <c:axId val="1056464336"/>
      </c:barChart>
      <c:catAx>
        <c:axId val="1056465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464336"/>
        <c:crosses val="autoZero"/>
        <c:auto val="1"/>
        <c:lblAlgn val="ctr"/>
        <c:lblOffset val="100"/>
        <c:noMultiLvlLbl val="0"/>
      </c:catAx>
      <c:valAx>
        <c:axId val="1056464336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05646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Notebook - 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Notebook'!$B$1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Notebook'!$A$2:$A$6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'The Notebook'!$B$2:$B$6</c:f>
              <c:numCache>
                <c:formatCode>_(* #,##0_);_(* \(#,##0\);_(* "-"??_);_(@_)</c:formatCode>
                <c:ptCount val="5"/>
                <c:pt idx="0">
                  <c:v>927932</c:v>
                </c:pt>
                <c:pt idx="1">
                  <c:v>506232</c:v>
                </c:pt>
                <c:pt idx="2">
                  <c:v>275426</c:v>
                </c:pt>
                <c:pt idx="3">
                  <c:v>90333</c:v>
                </c:pt>
                <c:pt idx="4">
                  <c:v>55090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2-4471-AFDA-2CE2C54A12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89772928"/>
        <c:axId val="889768608"/>
      </c:barChart>
      <c:catAx>
        <c:axId val="8897729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768608"/>
        <c:crosses val="autoZero"/>
        <c:auto val="1"/>
        <c:lblAlgn val="ctr"/>
        <c:lblOffset val="100"/>
        <c:noMultiLvlLbl val="0"/>
      </c:catAx>
      <c:valAx>
        <c:axId val="889768608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88977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The Lord of the Rings: The Fellowship of the Ring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/>
              <a:t> Rating Number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Lord of the Rings -Rating'!$B$1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Lord of the Rings -Rating'!$A$2:$A$11</c:f>
              <c:strCache>
                <c:ptCount val="10"/>
                <c:pt idx="0">
                  <c:v>1 star</c:v>
                </c:pt>
                <c:pt idx="1">
                  <c:v>2 stars </c:v>
                </c:pt>
                <c:pt idx="2">
                  <c:v>3 stars</c:v>
                </c:pt>
                <c:pt idx="3">
                  <c:v>4 stars</c:v>
                </c:pt>
                <c:pt idx="4">
                  <c:v>5 stars</c:v>
                </c:pt>
                <c:pt idx="5">
                  <c:v>6 stars</c:v>
                </c:pt>
                <c:pt idx="6">
                  <c:v>7 stars</c:v>
                </c:pt>
                <c:pt idx="7">
                  <c:v>8 stars</c:v>
                </c:pt>
                <c:pt idx="8">
                  <c:v>9 stars</c:v>
                </c:pt>
                <c:pt idx="9">
                  <c:v>10 stars</c:v>
                </c:pt>
              </c:strCache>
            </c:strRef>
          </c:cat>
          <c:val>
            <c:numRef>
              <c:f>'The Lord of the Rings -Rating'!$B$2:$B$11</c:f>
              <c:numCache>
                <c:formatCode>_(* #,##0_);_(* \(#,##0\);_(* "-"??_);_(@_)</c:formatCode>
                <c:ptCount val="10"/>
                <c:pt idx="0">
                  <c:v>32000</c:v>
                </c:pt>
                <c:pt idx="1">
                  <c:v>8300</c:v>
                </c:pt>
                <c:pt idx="2">
                  <c:v>10000</c:v>
                </c:pt>
                <c:pt idx="3">
                  <c:v>14000</c:v>
                </c:pt>
                <c:pt idx="4">
                  <c:v>28000</c:v>
                </c:pt>
                <c:pt idx="5">
                  <c:v>59000</c:v>
                </c:pt>
                <c:pt idx="6">
                  <c:v>170000</c:v>
                </c:pt>
                <c:pt idx="7">
                  <c:v>411000</c:v>
                </c:pt>
                <c:pt idx="8">
                  <c:v>612000</c:v>
                </c:pt>
                <c:pt idx="9">
                  <c:v>860000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F-4B2F-B9C7-9B7A20A41D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72423056"/>
        <c:axId val="1372425936"/>
      </c:barChart>
      <c:catAx>
        <c:axId val="1372423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425936"/>
        <c:crosses val="autoZero"/>
        <c:auto val="1"/>
        <c:lblAlgn val="ctr"/>
        <c:lblOffset val="100"/>
        <c:noMultiLvlLbl val="0"/>
      </c:catAx>
      <c:valAx>
        <c:axId val="1372425936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37242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b="0" i="0">
                <a:effectLst/>
              </a:rPr>
              <a:t>Harry Potter and the Sorcerer's Stone-</a:t>
            </a:r>
            <a:r>
              <a:rPr lang="en-US"/>
              <a:t>Rating Number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'H.P and the Sorcere''s Stone-Ra 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'H.P and the Sorcere''s Stone-Ra '!$A$2:$A$11</c:f>
              <c:strCache>
                <c:ptCount val="10"/>
                <c:pt idx="0">
                  <c:v>1 star</c:v>
                </c:pt>
                <c:pt idx="1">
                  <c:v>2 stars </c:v>
                </c:pt>
                <c:pt idx="2">
                  <c:v>3 stars</c:v>
                </c:pt>
                <c:pt idx="3">
                  <c:v>4 stars</c:v>
                </c:pt>
                <c:pt idx="4">
                  <c:v>5 stars</c:v>
                </c:pt>
                <c:pt idx="5">
                  <c:v>6 stars</c:v>
                </c:pt>
                <c:pt idx="6">
                  <c:v>7 stars</c:v>
                </c:pt>
                <c:pt idx="7">
                  <c:v>8 stars</c:v>
                </c:pt>
                <c:pt idx="8">
                  <c:v>9 stars</c:v>
                </c:pt>
                <c:pt idx="9">
                  <c:v>10 stars</c:v>
                </c:pt>
              </c:strCache>
            </c:strRef>
          </c:cat>
          <c:val>
            <c:numRef>
              <c:f>'H.P and the Sorcere''s Stone-Ra '!$B$2:$B$11</c:f>
              <c:numCache>
                <c:formatCode>General</c:formatCode>
                <c:ptCount val="10"/>
                <c:pt idx="0">
                  <c:v>9300</c:v>
                </c:pt>
                <c:pt idx="1">
                  <c:v>3200</c:v>
                </c:pt>
                <c:pt idx="2">
                  <c:v>5300</c:v>
                </c:pt>
                <c:pt idx="3">
                  <c:v>10000</c:v>
                </c:pt>
                <c:pt idx="4">
                  <c:v>29000</c:v>
                </c:pt>
                <c:pt idx="5">
                  <c:v>87000</c:v>
                </c:pt>
                <c:pt idx="6">
                  <c:v>241000</c:v>
                </c:pt>
                <c:pt idx="7">
                  <c:v>270000</c:v>
                </c:pt>
                <c:pt idx="8">
                  <c:v>121000</c:v>
                </c:pt>
                <c:pt idx="9">
                  <c:v>175000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2-459B-9BCE-55E5FBF476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21725824"/>
        <c:axId val="1421726784"/>
      </c:barChart>
      <c:catAx>
        <c:axId val="142172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726784"/>
        <c:crosses val="autoZero"/>
        <c:auto val="1"/>
        <c:lblAlgn val="ctr"/>
        <c:lblOffset val="100"/>
        <c:noMultiLvlLbl val="0"/>
      </c:catAx>
      <c:valAx>
        <c:axId val="1421726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172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Gone with the Wind-</a:t>
            </a:r>
            <a:r>
              <a:rPr lang="en-US"/>
              <a:t>Rating Number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'Gone with the Wind-Rating'!$B$1</c:f>
              <c:strCache>
                <c:ptCount val="1"/>
                <c:pt idx="0">
                  <c:v>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'Gone with the Wind-Rating'!$A$2:$A$11</c:f>
              <c:strCache>
                <c:ptCount val="10"/>
                <c:pt idx="0">
                  <c:v>1 star</c:v>
                </c:pt>
                <c:pt idx="1">
                  <c:v>2 stars </c:v>
                </c:pt>
                <c:pt idx="2">
                  <c:v>3 stars</c:v>
                </c:pt>
                <c:pt idx="3">
                  <c:v>4 stars</c:v>
                </c:pt>
                <c:pt idx="4">
                  <c:v>5 stars</c:v>
                </c:pt>
                <c:pt idx="5">
                  <c:v>6 stars</c:v>
                </c:pt>
                <c:pt idx="6">
                  <c:v>7 stars</c:v>
                </c:pt>
                <c:pt idx="7">
                  <c:v>8 stars</c:v>
                </c:pt>
                <c:pt idx="8">
                  <c:v>9 stars</c:v>
                </c:pt>
                <c:pt idx="9">
                  <c:v>10 stars</c:v>
                </c:pt>
              </c:strCache>
            </c:strRef>
          </c:cat>
          <c:val>
            <c:numRef>
              <c:f>'Gone with the Wind-Rating'!$B$2:$B$11</c:f>
              <c:numCache>
                <c:formatCode>General</c:formatCode>
                <c:ptCount val="10"/>
                <c:pt idx="0">
                  <c:v>6200</c:v>
                </c:pt>
                <c:pt idx="1">
                  <c:v>2800</c:v>
                </c:pt>
                <c:pt idx="2">
                  <c:v>3800</c:v>
                </c:pt>
                <c:pt idx="3">
                  <c:v>5700</c:v>
                </c:pt>
                <c:pt idx="4">
                  <c:v>11000</c:v>
                </c:pt>
                <c:pt idx="5">
                  <c:v>23000</c:v>
                </c:pt>
                <c:pt idx="6">
                  <c:v>50000</c:v>
                </c:pt>
                <c:pt idx="7">
                  <c:v>86000</c:v>
                </c:pt>
                <c:pt idx="8">
                  <c:v>70000</c:v>
                </c:pt>
                <c:pt idx="9">
                  <c:v>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4-446B-9C34-FD0353CEA6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21556912"/>
        <c:axId val="1121554992"/>
      </c:barChart>
      <c:catAx>
        <c:axId val="1121556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554992"/>
        <c:crosses val="autoZero"/>
        <c:auto val="1"/>
        <c:lblAlgn val="ctr"/>
        <c:lblOffset val="100"/>
        <c:noMultiLvlLbl val="0"/>
      </c:catAx>
      <c:valAx>
        <c:axId val="1121554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155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Lord of the Rings: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The Lord of the Rings T'!$B$1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The Lord of the Rings T'!$A$2:$A$11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The Lord of the Rings T'!$B$2:$B$11</c:f>
              <c:numCache>
                <c:formatCode>#,##0</c:formatCode>
                <c:ptCount val="10"/>
                <c:pt idx="0">
                  <c:v>860000</c:v>
                </c:pt>
                <c:pt idx="1">
                  <c:v>612000</c:v>
                </c:pt>
                <c:pt idx="2">
                  <c:v>411000</c:v>
                </c:pt>
                <c:pt idx="3">
                  <c:v>170000</c:v>
                </c:pt>
                <c:pt idx="4">
                  <c:v>59000</c:v>
                </c:pt>
                <c:pt idx="5">
                  <c:v>28000</c:v>
                </c:pt>
                <c:pt idx="6">
                  <c:v>14000</c:v>
                </c:pt>
                <c:pt idx="7">
                  <c:v>10000</c:v>
                </c:pt>
                <c:pt idx="8">
                  <c:v>8300</c:v>
                </c:pt>
                <c:pt idx="9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A-44A2-B612-72BFA280D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8651952"/>
        <c:axId val="1048641392"/>
      </c:barChart>
      <c:catAx>
        <c:axId val="10486519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41392"/>
        <c:crosses val="autoZero"/>
        <c:auto val="1"/>
        <c:lblAlgn val="ctr"/>
        <c:lblOffset val="100"/>
        <c:noMultiLvlLbl val="0"/>
      </c:catAx>
      <c:valAx>
        <c:axId val="1048641392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4865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Harry Potter and the Sorcerer's Stone: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Harry Potter and the Sor'!$B$1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Harry Potter and the Sor'!$A$2:$A$11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Harry Potter and the Sor'!$B$2:$B$11</c:f>
              <c:numCache>
                <c:formatCode>#,##0</c:formatCode>
                <c:ptCount val="10"/>
                <c:pt idx="0">
                  <c:v>175000</c:v>
                </c:pt>
                <c:pt idx="1">
                  <c:v>121000</c:v>
                </c:pt>
                <c:pt idx="2">
                  <c:v>270000</c:v>
                </c:pt>
                <c:pt idx="3">
                  <c:v>241000</c:v>
                </c:pt>
                <c:pt idx="4">
                  <c:v>87000</c:v>
                </c:pt>
                <c:pt idx="5">
                  <c:v>29000</c:v>
                </c:pt>
                <c:pt idx="6">
                  <c:v>10000</c:v>
                </c:pt>
                <c:pt idx="7">
                  <c:v>5300</c:v>
                </c:pt>
                <c:pt idx="8">
                  <c:v>3200</c:v>
                </c:pt>
                <c:pt idx="9">
                  <c:v>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3-4909-9666-60FC55530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2547296"/>
        <c:axId val="1072559296"/>
      </c:barChart>
      <c:catAx>
        <c:axId val="10725472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559296"/>
        <c:crosses val="autoZero"/>
        <c:auto val="1"/>
        <c:lblAlgn val="ctr"/>
        <c:lblOffset val="100"/>
        <c:noMultiLvlLbl val="0"/>
      </c:catAx>
      <c:valAx>
        <c:axId val="1072559296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7254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Gone with the Wind: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Gone with the Wind'!$B$1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Gone with the Wind'!$A$2:$A$11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Gone with the Wind'!$B$2:$B$11</c:f>
              <c:numCache>
                <c:formatCode>#,##0</c:formatCode>
                <c:ptCount val="10"/>
                <c:pt idx="0">
                  <c:v>98000</c:v>
                </c:pt>
                <c:pt idx="1">
                  <c:v>70000</c:v>
                </c:pt>
                <c:pt idx="2">
                  <c:v>86000</c:v>
                </c:pt>
                <c:pt idx="3">
                  <c:v>50000</c:v>
                </c:pt>
                <c:pt idx="4">
                  <c:v>23000</c:v>
                </c:pt>
                <c:pt idx="5">
                  <c:v>11000</c:v>
                </c:pt>
                <c:pt idx="6">
                  <c:v>5700</c:v>
                </c:pt>
                <c:pt idx="7">
                  <c:v>3800</c:v>
                </c:pt>
                <c:pt idx="8">
                  <c:v>2800</c:v>
                </c:pt>
                <c:pt idx="9">
                  <c:v>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2-45FF-850D-C329FB0D7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2558816"/>
        <c:axId val="1024926368"/>
      </c:barChart>
      <c:catAx>
        <c:axId val="10725588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926368"/>
        <c:crosses val="autoZero"/>
        <c:auto val="1"/>
        <c:lblAlgn val="ctr"/>
        <c:lblOffset val="100"/>
        <c:noMultiLvlLbl val="0"/>
      </c:catAx>
      <c:valAx>
        <c:axId val="102492636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7255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Hunger Games: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The Hunger Games'!$B$1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The Hunger Games'!$A$2:$A$11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The Hunger Games'!$B$2:$B$11</c:f>
              <c:numCache>
                <c:formatCode>#,##0</c:formatCode>
                <c:ptCount val="10"/>
                <c:pt idx="0">
                  <c:v>136000</c:v>
                </c:pt>
                <c:pt idx="1">
                  <c:v>125000</c:v>
                </c:pt>
                <c:pt idx="2">
                  <c:v>280000</c:v>
                </c:pt>
                <c:pt idx="3">
                  <c:v>303000</c:v>
                </c:pt>
                <c:pt idx="4">
                  <c:v>131000</c:v>
                </c:pt>
                <c:pt idx="5">
                  <c:v>51000</c:v>
                </c:pt>
                <c:pt idx="6">
                  <c:v>21000</c:v>
                </c:pt>
                <c:pt idx="7">
                  <c:v>11000</c:v>
                </c:pt>
                <c:pt idx="8">
                  <c:v>7000</c:v>
                </c:pt>
                <c:pt idx="9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C-4D80-82D8-3C8AA8D0F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8652432"/>
        <c:axId val="1048643312"/>
      </c:barChart>
      <c:catAx>
        <c:axId val="10486524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43312"/>
        <c:crosses val="autoZero"/>
        <c:auto val="1"/>
        <c:lblAlgn val="ctr"/>
        <c:lblOffset val="100"/>
        <c:noMultiLvlLbl val="0"/>
      </c:catAx>
      <c:valAx>
        <c:axId val="1048643312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4865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Godfather: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The Godfather'!$B$1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The Godfather'!$A$2:$A$11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The Godfather'!$B$2:$B$11</c:f>
              <c:numCache>
                <c:formatCode>#,##0</c:formatCode>
                <c:ptCount val="10"/>
                <c:pt idx="0">
                  <c:v>1100000</c:v>
                </c:pt>
                <c:pt idx="1">
                  <c:v>557000</c:v>
                </c:pt>
                <c:pt idx="2">
                  <c:v>280000</c:v>
                </c:pt>
                <c:pt idx="3">
                  <c:v>110000</c:v>
                </c:pt>
                <c:pt idx="4">
                  <c:v>41000</c:v>
                </c:pt>
                <c:pt idx="5">
                  <c:v>22000</c:v>
                </c:pt>
                <c:pt idx="6">
                  <c:v>11000</c:v>
                </c:pt>
                <c:pt idx="7">
                  <c:v>8400</c:v>
                </c:pt>
                <c:pt idx="8">
                  <c:v>7500</c:v>
                </c:pt>
                <c:pt idx="9">
                  <c:v>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F-498E-830F-31CA0ACDD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9214896"/>
        <c:axId val="1069207696"/>
      </c:barChart>
      <c:catAx>
        <c:axId val="10692148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207696"/>
        <c:crosses val="autoZero"/>
        <c:auto val="1"/>
        <c:lblAlgn val="ctr"/>
        <c:lblOffset val="100"/>
        <c:noMultiLvlLbl val="0"/>
      </c:catAx>
      <c:valAx>
        <c:axId val="1069207696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6921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 Kill a Mockingbird: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To Kill a Mockingbird'!$B$1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To Kill a Mockingbird'!$A$2:$A$11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To Kill a Mockingbird'!$B$2:$B$11</c:f>
              <c:numCache>
                <c:formatCode>#,##0</c:formatCode>
                <c:ptCount val="10"/>
                <c:pt idx="0">
                  <c:v>77000</c:v>
                </c:pt>
                <c:pt idx="1">
                  <c:v>84000</c:v>
                </c:pt>
                <c:pt idx="2">
                  <c:v>101000</c:v>
                </c:pt>
                <c:pt idx="3">
                  <c:v>53000</c:v>
                </c:pt>
                <c:pt idx="4">
                  <c:v>19000</c:v>
                </c:pt>
                <c:pt idx="5">
                  <c:v>7900</c:v>
                </c:pt>
                <c:pt idx="6">
                  <c:v>3400</c:v>
                </c:pt>
                <c:pt idx="7">
                  <c:v>1900</c:v>
                </c:pt>
                <c:pt idx="8">
                  <c:v>1400</c:v>
                </c:pt>
                <c:pt idx="9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B-4AD7-9727-8F35B7276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9212976"/>
        <c:axId val="1069210096"/>
      </c:barChart>
      <c:catAx>
        <c:axId val="10692129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210096"/>
        <c:crosses val="autoZero"/>
        <c:auto val="1"/>
        <c:lblAlgn val="ctr"/>
        <c:lblOffset val="100"/>
        <c:noMultiLvlLbl val="0"/>
      </c:catAx>
      <c:valAx>
        <c:axId val="1069210096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6921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Pride &amp; Prejudice: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Pride &amp; Prejudice'!$B$1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Pride &amp; Prejudice'!$A$2:$A$11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Pride &amp; Prejudice'!$B$2:$B$11</c:f>
              <c:numCache>
                <c:formatCode>#,##0</c:formatCode>
                <c:ptCount val="10"/>
                <c:pt idx="0">
                  <c:v>85000</c:v>
                </c:pt>
                <c:pt idx="1">
                  <c:v>62000</c:v>
                </c:pt>
                <c:pt idx="2">
                  <c:v>102000</c:v>
                </c:pt>
                <c:pt idx="3">
                  <c:v>74000</c:v>
                </c:pt>
                <c:pt idx="4">
                  <c:v>29000</c:v>
                </c:pt>
                <c:pt idx="5">
                  <c:v>11000</c:v>
                </c:pt>
                <c:pt idx="6">
                  <c:v>4600</c:v>
                </c:pt>
                <c:pt idx="7">
                  <c:v>2600</c:v>
                </c:pt>
                <c:pt idx="8">
                  <c:v>1800</c:v>
                </c:pt>
                <c:pt idx="9">
                  <c:v>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E-49EB-9E89-C416C6EB4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2131808"/>
        <c:axId val="1132121248"/>
      </c:barChart>
      <c:catAx>
        <c:axId val="11321318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21248"/>
        <c:crosses val="autoZero"/>
        <c:auto val="1"/>
        <c:lblAlgn val="ctr"/>
        <c:lblOffset val="100"/>
        <c:noMultiLvlLbl val="0"/>
      </c:catAx>
      <c:valAx>
        <c:axId val="113212124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213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Silence of the Lambs: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The Silence of the Lambs'!$B$1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The Silence of the Lambs'!$A$2:$A$11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The Silence of the Lambs'!$B$2:$B$11</c:f>
              <c:numCache>
                <c:formatCode>#,##0</c:formatCode>
                <c:ptCount val="10"/>
                <c:pt idx="0">
                  <c:v>407000</c:v>
                </c:pt>
                <c:pt idx="1">
                  <c:v>563000</c:v>
                </c:pt>
                <c:pt idx="2">
                  <c:v>482000</c:v>
                </c:pt>
                <c:pt idx="3">
                  <c:v>182000</c:v>
                </c:pt>
                <c:pt idx="4">
                  <c:v>48000</c:v>
                </c:pt>
                <c:pt idx="5">
                  <c:v>17000</c:v>
                </c:pt>
                <c:pt idx="6">
                  <c:v>7400</c:v>
                </c:pt>
                <c:pt idx="7">
                  <c:v>4200</c:v>
                </c:pt>
                <c:pt idx="8">
                  <c:v>3200</c:v>
                </c:pt>
                <c:pt idx="9">
                  <c:v>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8-42A3-86F9-719F31857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2242832"/>
        <c:axId val="982241392"/>
      </c:barChart>
      <c:catAx>
        <c:axId val="9822428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241392"/>
        <c:crosses val="autoZero"/>
        <c:auto val="1"/>
        <c:lblAlgn val="ctr"/>
        <c:lblOffset val="100"/>
        <c:noMultiLvlLbl val="0"/>
      </c:catAx>
      <c:valAx>
        <c:axId val="982241392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98224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Shining: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The Shining'!$B$1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The Shining'!$A$2:$A$11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The Shining'!$B$2:$B$11</c:f>
              <c:numCache>
                <c:formatCode>#,##0</c:formatCode>
                <c:ptCount val="10"/>
                <c:pt idx="0">
                  <c:v>274000</c:v>
                </c:pt>
                <c:pt idx="1">
                  <c:v>332000</c:v>
                </c:pt>
                <c:pt idx="2">
                  <c:v>339000</c:v>
                </c:pt>
                <c:pt idx="3">
                  <c:v>165000</c:v>
                </c:pt>
                <c:pt idx="4">
                  <c:v>59000</c:v>
                </c:pt>
                <c:pt idx="5">
                  <c:v>24000</c:v>
                </c:pt>
                <c:pt idx="6">
                  <c:v>11000</c:v>
                </c:pt>
                <c:pt idx="7">
                  <c:v>6600</c:v>
                </c:pt>
                <c:pt idx="8">
                  <c:v>4500</c:v>
                </c:pt>
                <c:pt idx="9">
                  <c:v>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1-4B9B-81E9-6781A44DC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0609952"/>
        <c:axId val="1130608992"/>
      </c:barChart>
      <c:catAx>
        <c:axId val="11306099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608992"/>
        <c:crosses val="autoZero"/>
        <c:auto val="1"/>
        <c:lblAlgn val="ctr"/>
        <c:lblOffset val="100"/>
        <c:noMultiLvlLbl val="0"/>
      </c:catAx>
      <c:valAx>
        <c:axId val="1130608992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060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Girl with the Dragon Tattoo: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The Girl with the Dragon'!$B$1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The Girl with the Dragon'!$A$2:$A$11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The Girl with the Dragon'!$B$2:$B$11</c:f>
              <c:numCache>
                <c:formatCode>#,##0</c:formatCode>
                <c:ptCount val="10"/>
                <c:pt idx="0">
                  <c:v>56000</c:v>
                </c:pt>
                <c:pt idx="1">
                  <c:v>98000</c:v>
                </c:pt>
                <c:pt idx="2">
                  <c:v>192000</c:v>
                </c:pt>
                <c:pt idx="3">
                  <c:v>118000</c:v>
                </c:pt>
                <c:pt idx="4">
                  <c:v>37000</c:v>
                </c:pt>
                <c:pt idx="5">
                  <c:v>12000</c:v>
                </c:pt>
                <c:pt idx="6">
                  <c:v>4900</c:v>
                </c:pt>
                <c:pt idx="7">
                  <c:v>2600</c:v>
                </c:pt>
                <c:pt idx="8">
                  <c:v>1800</c:v>
                </c:pt>
                <c:pt idx="9">
                  <c:v>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1-459B-A076-2CA325C29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0611872"/>
        <c:axId val="1130605632"/>
      </c:barChart>
      <c:catAx>
        <c:axId val="11306118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605632"/>
        <c:crosses val="autoZero"/>
        <c:auto val="1"/>
        <c:lblAlgn val="ctr"/>
        <c:lblOffset val="100"/>
        <c:noMultiLvlLbl val="0"/>
      </c:catAx>
      <c:valAx>
        <c:axId val="1130605632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061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Game of Thrones: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Game of Thrones'!$B$1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Game of Thrones'!$A$2:$A$11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Game of Thrones'!$B$2:$B$11</c:f>
              <c:numCache>
                <c:formatCode>#,##0</c:formatCode>
                <c:ptCount val="10"/>
                <c:pt idx="0">
                  <c:v>1500000</c:v>
                </c:pt>
                <c:pt idx="1">
                  <c:v>600000</c:v>
                </c:pt>
                <c:pt idx="2">
                  <c:v>259000</c:v>
                </c:pt>
                <c:pt idx="3">
                  <c:v>99000</c:v>
                </c:pt>
                <c:pt idx="4">
                  <c:v>38000</c:v>
                </c:pt>
                <c:pt idx="5">
                  <c:v>22000</c:v>
                </c:pt>
                <c:pt idx="6">
                  <c:v>11000</c:v>
                </c:pt>
                <c:pt idx="7">
                  <c:v>9700</c:v>
                </c:pt>
                <c:pt idx="8">
                  <c:v>11000</c:v>
                </c:pt>
                <c:pt idx="9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4-4968-A454-5A657158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8638992"/>
        <c:axId val="1048637552"/>
      </c:barChart>
      <c:catAx>
        <c:axId val="10486389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37552"/>
        <c:crosses val="autoZero"/>
        <c:auto val="1"/>
        <c:lblAlgn val="ctr"/>
        <c:lblOffset val="100"/>
        <c:noMultiLvlLbl val="0"/>
      </c:catAx>
      <c:valAx>
        <c:axId val="1048637552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4863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Great Gatsby: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The Great Gatsby'!$B$1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The Great Gatsby'!$A$2:$A$11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The Great Gatsby'!$B$2:$B$11</c:f>
              <c:numCache>
                <c:formatCode>#,##0</c:formatCode>
                <c:ptCount val="10"/>
                <c:pt idx="0">
                  <c:v>67000</c:v>
                </c:pt>
                <c:pt idx="1">
                  <c:v>75000</c:v>
                </c:pt>
                <c:pt idx="2">
                  <c:v>165000</c:v>
                </c:pt>
                <c:pt idx="3">
                  <c:v>182000</c:v>
                </c:pt>
                <c:pt idx="4">
                  <c:v>89000</c:v>
                </c:pt>
                <c:pt idx="5">
                  <c:v>35000</c:v>
                </c:pt>
                <c:pt idx="6">
                  <c:v>14000</c:v>
                </c:pt>
                <c:pt idx="7">
                  <c:v>6800</c:v>
                </c:pt>
                <c:pt idx="8">
                  <c:v>3900</c:v>
                </c:pt>
                <c:pt idx="9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E-4E8B-AC9B-DE5DF1EEB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2135168"/>
        <c:axId val="1132118848"/>
      </c:barChart>
      <c:catAx>
        <c:axId val="11321351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18848"/>
        <c:crosses val="autoZero"/>
        <c:auto val="1"/>
        <c:lblAlgn val="ctr"/>
        <c:lblOffset val="100"/>
        <c:noMultiLvlLbl val="0"/>
      </c:catAx>
      <c:valAx>
        <c:axId val="113211884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213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One Flew Over the Cuckoo's Nest: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One Flew Over the Cuckoo'!$B$1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One Flew Over the Cuckoo'!$A$2:$A$11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One Flew Over the Cuckoo'!$B$2:$B$11</c:f>
              <c:numCache>
                <c:formatCode>#,##0</c:formatCode>
                <c:ptCount val="10"/>
                <c:pt idx="0">
                  <c:v>316000</c:v>
                </c:pt>
                <c:pt idx="1">
                  <c:v>368000</c:v>
                </c:pt>
                <c:pt idx="2">
                  <c:v>287000</c:v>
                </c:pt>
                <c:pt idx="3">
                  <c:v>116000</c:v>
                </c:pt>
                <c:pt idx="4">
                  <c:v>35000</c:v>
                </c:pt>
                <c:pt idx="5">
                  <c:v>13000</c:v>
                </c:pt>
                <c:pt idx="6">
                  <c:v>5900</c:v>
                </c:pt>
                <c:pt idx="7">
                  <c:v>3300</c:v>
                </c:pt>
                <c:pt idx="8">
                  <c:v>2400</c:v>
                </c:pt>
                <c:pt idx="9">
                  <c:v>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8-4AB4-883E-CCEACEFD4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2140928"/>
        <c:axId val="1132129888"/>
      </c:barChart>
      <c:catAx>
        <c:axId val="11321409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29888"/>
        <c:crosses val="autoZero"/>
        <c:auto val="1"/>
        <c:lblAlgn val="ctr"/>
        <c:lblOffset val="100"/>
        <c:noMultiLvlLbl val="0"/>
      </c:catAx>
      <c:valAx>
        <c:axId val="113212988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214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Jurassic Park: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Jurassic Park'!$B$1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Jurassic Park'!$A$2:$A$11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Jurassic Park'!$B$2:$B$11</c:f>
              <c:numCache>
                <c:formatCode>#,##0</c:formatCode>
                <c:ptCount val="10"/>
                <c:pt idx="0">
                  <c:v>226000</c:v>
                </c:pt>
                <c:pt idx="1">
                  <c:v>253000</c:v>
                </c:pt>
                <c:pt idx="2">
                  <c:v>384000</c:v>
                </c:pt>
                <c:pt idx="3">
                  <c:v>204000</c:v>
                </c:pt>
                <c:pt idx="4">
                  <c:v>65000</c:v>
                </c:pt>
                <c:pt idx="5">
                  <c:v>23000</c:v>
                </c:pt>
                <c:pt idx="6">
                  <c:v>9100</c:v>
                </c:pt>
                <c:pt idx="7">
                  <c:v>5000</c:v>
                </c:pt>
                <c:pt idx="8">
                  <c:v>3000</c:v>
                </c:pt>
                <c:pt idx="9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A-4E3F-980C-37EDBDDB2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2130848"/>
        <c:axId val="1132142368"/>
      </c:barChart>
      <c:catAx>
        <c:axId val="11321308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42368"/>
        <c:crosses val="autoZero"/>
        <c:auto val="1"/>
        <c:lblAlgn val="ctr"/>
        <c:lblOffset val="100"/>
        <c:noMultiLvlLbl val="0"/>
      </c:catAx>
      <c:valAx>
        <c:axId val="113214236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213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Fight Club: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Fight Club'!$B$1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Fight Club'!$A$2:$A$11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Fight Club'!$B$2:$B$11</c:f>
              <c:numCache>
                <c:formatCode>#,##0</c:formatCode>
                <c:ptCount val="10"/>
                <c:pt idx="0">
                  <c:v>875000</c:v>
                </c:pt>
                <c:pt idx="1">
                  <c:v>805000</c:v>
                </c:pt>
                <c:pt idx="2">
                  <c:v>538000</c:v>
                </c:pt>
                <c:pt idx="3">
                  <c:v>220000</c:v>
                </c:pt>
                <c:pt idx="4">
                  <c:v>74000</c:v>
                </c:pt>
                <c:pt idx="5">
                  <c:v>33000</c:v>
                </c:pt>
                <c:pt idx="6">
                  <c:v>17000</c:v>
                </c:pt>
                <c:pt idx="7">
                  <c:v>11000</c:v>
                </c:pt>
                <c:pt idx="8">
                  <c:v>8800</c:v>
                </c:pt>
                <c:pt idx="9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F-47A5-802B-A103E6CBC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2127008"/>
        <c:axId val="1132143808"/>
      </c:barChart>
      <c:catAx>
        <c:axId val="11321270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43808"/>
        <c:crosses val="autoZero"/>
        <c:auto val="1"/>
        <c:lblAlgn val="ctr"/>
        <c:lblOffset val="100"/>
        <c:noMultiLvlLbl val="0"/>
      </c:catAx>
      <c:valAx>
        <c:axId val="113214380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212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Handmaid's Tale: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The Handmaid''s Tale'!$B$1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The Handmaid''s Tale'!$A$2:$A$11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The Handmaid''s Tale'!$B$2:$B$11</c:f>
              <c:numCache>
                <c:formatCode>#,##0</c:formatCode>
                <c:ptCount val="10"/>
                <c:pt idx="0">
                  <c:v>87000</c:v>
                </c:pt>
                <c:pt idx="1">
                  <c:v>80000</c:v>
                </c:pt>
                <c:pt idx="2">
                  <c:v>66000</c:v>
                </c:pt>
                <c:pt idx="3">
                  <c:v>30000</c:v>
                </c:pt>
                <c:pt idx="4">
                  <c:v>12000</c:v>
                </c:pt>
                <c:pt idx="5">
                  <c:v>6100</c:v>
                </c:pt>
                <c:pt idx="6">
                  <c:v>3400</c:v>
                </c:pt>
                <c:pt idx="7">
                  <c:v>2400</c:v>
                </c:pt>
                <c:pt idx="8">
                  <c:v>2100</c:v>
                </c:pt>
                <c:pt idx="9">
                  <c:v>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F-4E91-AD98-FBC178E8B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2147168"/>
        <c:axId val="1132147648"/>
      </c:barChart>
      <c:catAx>
        <c:axId val="11321471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47648"/>
        <c:crosses val="autoZero"/>
        <c:auto val="1"/>
        <c:lblAlgn val="ctr"/>
        <c:lblOffset val="100"/>
        <c:noMultiLvlLbl val="0"/>
      </c:catAx>
      <c:valAx>
        <c:axId val="113214764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214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Bram Stoker's Dracula: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Bram Stoker''s Dracula'!$B$1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Bram Stoker''s Dracula'!$A$2:$A$11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Bram Stoker''s Dracula'!$B$2:$B$11</c:f>
              <c:numCache>
                <c:formatCode>#,##0</c:formatCode>
                <c:ptCount val="10"/>
                <c:pt idx="0">
                  <c:v>34000</c:v>
                </c:pt>
                <c:pt idx="1">
                  <c:v>36000</c:v>
                </c:pt>
                <c:pt idx="2">
                  <c:v>73000</c:v>
                </c:pt>
                <c:pt idx="3">
                  <c:v>67000</c:v>
                </c:pt>
                <c:pt idx="4">
                  <c:v>32000</c:v>
                </c:pt>
                <c:pt idx="5">
                  <c:v>13000</c:v>
                </c:pt>
                <c:pt idx="6">
                  <c:v>6100</c:v>
                </c:pt>
                <c:pt idx="7">
                  <c:v>3200</c:v>
                </c:pt>
                <c:pt idx="8">
                  <c:v>2000</c:v>
                </c:pt>
                <c:pt idx="9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E-4591-8613-B7C7C60DD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7203120"/>
        <c:axId val="1137199280"/>
      </c:barChart>
      <c:catAx>
        <c:axId val="11372031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99280"/>
        <c:crosses val="autoZero"/>
        <c:auto val="1"/>
        <c:lblAlgn val="ctr"/>
        <c:lblOffset val="100"/>
        <c:noMultiLvlLbl val="0"/>
      </c:catAx>
      <c:valAx>
        <c:axId val="1137199280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720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Schindler's List: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Schindler''s List'!$B$1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Schindler''s List'!$A$2:$A$11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Schindler''s List'!$B$2:$B$11</c:f>
              <c:numCache>
                <c:formatCode>#,##0</c:formatCode>
                <c:ptCount val="10"/>
                <c:pt idx="0">
                  <c:v>605000</c:v>
                </c:pt>
                <c:pt idx="1">
                  <c:v>503000</c:v>
                </c:pt>
                <c:pt idx="2">
                  <c:v>281000</c:v>
                </c:pt>
                <c:pt idx="3">
                  <c:v>102000</c:v>
                </c:pt>
                <c:pt idx="4">
                  <c:v>34000</c:v>
                </c:pt>
                <c:pt idx="5">
                  <c:v>16000</c:v>
                </c:pt>
                <c:pt idx="6">
                  <c:v>7600</c:v>
                </c:pt>
                <c:pt idx="7">
                  <c:v>5700</c:v>
                </c:pt>
                <c:pt idx="8">
                  <c:v>5300</c:v>
                </c:pt>
                <c:pt idx="9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3-45F6-AD4A-ACF1F1B62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7192560"/>
        <c:axId val="1137194480"/>
      </c:barChart>
      <c:catAx>
        <c:axId val="11371925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94480"/>
        <c:crosses val="autoZero"/>
        <c:auto val="1"/>
        <c:lblAlgn val="ctr"/>
        <c:lblOffset val="100"/>
        <c:noMultiLvlLbl val="0"/>
      </c:catAx>
      <c:valAx>
        <c:axId val="1137194480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719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Blade Runner: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Blade Runner'!$B$1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Blade Runner'!$A$2:$A$11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Blade Runner'!$B$2:$B$11</c:f>
              <c:numCache>
                <c:formatCode>#,##0</c:formatCode>
                <c:ptCount val="10"/>
                <c:pt idx="0">
                  <c:v>204000</c:v>
                </c:pt>
                <c:pt idx="1">
                  <c:v>197000</c:v>
                </c:pt>
                <c:pt idx="2">
                  <c:v>226000</c:v>
                </c:pt>
                <c:pt idx="3">
                  <c:v>137000</c:v>
                </c:pt>
                <c:pt idx="4">
                  <c:v>60000</c:v>
                </c:pt>
                <c:pt idx="5">
                  <c:v>26000</c:v>
                </c:pt>
                <c:pt idx="6">
                  <c:v>12000</c:v>
                </c:pt>
                <c:pt idx="7">
                  <c:v>7000</c:v>
                </c:pt>
                <c:pt idx="8">
                  <c:v>4600</c:v>
                </c:pt>
                <c:pt idx="9">
                  <c:v>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1-46D0-A48E-E5DAA503C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7186800"/>
        <c:axId val="1137196400"/>
      </c:barChart>
      <c:catAx>
        <c:axId val="11371868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96400"/>
        <c:crosses val="autoZero"/>
        <c:auto val="1"/>
        <c:lblAlgn val="ctr"/>
        <c:lblOffset val="100"/>
        <c:noMultiLvlLbl val="0"/>
      </c:catAx>
      <c:valAx>
        <c:axId val="1137196400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718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Notebook: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The Notebook'!$B$1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The Notebook'!$A$2:$A$11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The Notebook'!$B$2:$B$11</c:f>
              <c:numCache>
                <c:formatCode>#,##0</c:formatCode>
                <c:ptCount val="10"/>
                <c:pt idx="0">
                  <c:v>157000</c:v>
                </c:pt>
                <c:pt idx="1">
                  <c:v>122000</c:v>
                </c:pt>
                <c:pt idx="2">
                  <c:v>184000</c:v>
                </c:pt>
                <c:pt idx="3">
                  <c:v>122000</c:v>
                </c:pt>
                <c:pt idx="4">
                  <c:v>53000</c:v>
                </c:pt>
                <c:pt idx="5">
                  <c:v>23000</c:v>
                </c:pt>
                <c:pt idx="6">
                  <c:v>10000</c:v>
                </c:pt>
                <c:pt idx="7">
                  <c:v>5700</c:v>
                </c:pt>
                <c:pt idx="8">
                  <c:v>3900</c:v>
                </c:pt>
                <c:pt idx="9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8-4AAD-99E0-9C5B9EABA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7188240"/>
        <c:axId val="1137194960"/>
      </c:barChart>
      <c:catAx>
        <c:axId val="1137188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94960"/>
        <c:crosses val="autoZero"/>
        <c:auto val="1"/>
        <c:lblAlgn val="ctr"/>
        <c:lblOffset val="100"/>
        <c:noMultiLvlLbl val="0"/>
      </c:catAx>
      <c:valAx>
        <c:axId val="1137194960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718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945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Goodreads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945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'📚 Dashboard 🎬'!$B$30</c:f>
              <c:strCache>
                <c:ptCount val="1"/>
                <c:pt idx="0">
                  <c:v>Number</c:v>
                </c:pt>
              </c:strCache>
            </c:strRef>
          </c:tx>
          <c:spPr>
            <a:solidFill>
              <a:srgbClr val="E9456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'📚 Dashboard 🎬'!$A$31:$A$35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'📚 Dashboard 🎬'!$B$31:$B$35</c:f>
              <c:numCache>
                <c:formatCode>General</c:formatCode>
                <c:ptCount val="5"/>
                <c:pt idx="0">
                  <c:v>5601</c:v>
                </c:pt>
                <c:pt idx="1">
                  <c:v>10170</c:v>
                </c:pt>
                <c:pt idx="2">
                  <c:v>46266</c:v>
                </c:pt>
                <c:pt idx="3">
                  <c:v>137019</c:v>
                </c:pt>
                <c:pt idx="4">
                  <c:v>271164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1-48AE-BA14-526BBE4AF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8513455"/>
        <c:axId val="328513935"/>
      </c:barChart>
      <c:catAx>
        <c:axId val="3285134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13935"/>
        <c:crosses val="autoZero"/>
        <c:auto val="1"/>
        <c:lblAlgn val="ctr"/>
        <c:lblOffset val="100"/>
        <c:noMultiLvlLbl val="0"/>
      </c:catAx>
      <c:valAx>
        <c:axId val="328513935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328513455"/>
        <c:crosses val="autoZero"/>
        <c:crossBetween val="between"/>
      </c:valAx>
      <c:spPr>
        <a:solidFill>
          <a:srgbClr val="16213E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213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945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IMDb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945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'📚 Dashboard 🎬'!$E$30</c:f>
              <c:strCache>
                <c:ptCount val="1"/>
                <c:pt idx="0">
                  <c:v>Votes</c:v>
                </c:pt>
              </c:strCache>
            </c:strRef>
          </c:tx>
          <c:spPr>
            <a:solidFill>
              <a:srgbClr val="E9456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'📚 Dashboard 🎬'!$D$31:$D$40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'📚 Dashboard 🎬'!$E$31:$E$40</c:f>
              <c:numCache>
                <c:formatCode>General</c:formatCode>
                <c:ptCount val="10"/>
                <c:pt idx="0">
                  <c:v>1100000</c:v>
                </c:pt>
                <c:pt idx="1">
                  <c:v>557000</c:v>
                </c:pt>
                <c:pt idx="2">
                  <c:v>280000</c:v>
                </c:pt>
                <c:pt idx="3">
                  <c:v>110000</c:v>
                </c:pt>
                <c:pt idx="4">
                  <c:v>41000</c:v>
                </c:pt>
                <c:pt idx="5">
                  <c:v>22000</c:v>
                </c:pt>
                <c:pt idx="6">
                  <c:v>11000</c:v>
                </c:pt>
                <c:pt idx="7">
                  <c:v>8400</c:v>
                </c:pt>
                <c:pt idx="8">
                  <c:v>7500</c:v>
                </c:pt>
                <c:pt idx="9">
                  <c:v>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7-4402-B625-9599CA737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2167904"/>
        <c:axId val="1072166464"/>
      </c:barChart>
      <c:catAx>
        <c:axId val="10721679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66464"/>
        <c:crosses val="autoZero"/>
        <c:auto val="1"/>
        <c:lblAlgn val="ctr"/>
        <c:lblOffset val="100"/>
        <c:noMultiLvlLbl val="0"/>
      </c:catAx>
      <c:valAx>
        <c:axId val="107216646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72167904"/>
        <c:crosses val="autoZero"/>
        <c:crossBetween val="between"/>
      </c:valAx>
      <c:spPr>
        <a:solidFill>
          <a:srgbClr val="16213E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213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590549</xdr:colOff>
      <xdr:row>0</xdr:row>
      <xdr:rowOff>176211</xdr:rowOff>
    </xdr:from>
    <xdr:to>
      <xdr:col>12</xdr:col>
      <xdr:colOff>323850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25C88-E4EB-0A0F-49A1-C5D29940E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</xdr:colOff>
      <xdr:row>1</xdr:row>
      <xdr:rowOff>28575</xdr:rowOff>
    </xdr:from>
    <xdr:to>
      <xdr:col>13</xdr:col>
      <xdr:colOff>457199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BE09FB-2406-4FD8-1490-18BFD342B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80962</xdr:rowOff>
    </xdr:from>
    <xdr:to>
      <xdr:col>10</xdr:col>
      <xdr:colOff>295275</xdr:colOff>
      <xdr:row>15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9CA64E-DE92-B25E-405E-81670311C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23812</xdr:rowOff>
    </xdr:from>
    <xdr:to>
      <xdr:col>12</xdr:col>
      <xdr:colOff>28575</xdr:colOff>
      <xdr:row>16</xdr:row>
      <xdr:rowOff>85726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B98E3E-5E6F-A4E5-6143-14498815B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180975</xdr:rowOff>
    </xdr:from>
    <xdr:to>
      <xdr:col>12</xdr:col>
      <xdr:colOff>19050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E8C0E3-0373-333B-BA0A-D22C339D7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14287</xdr:rowOff>
    </xdr:from>
    <xdr:to>
      <xdr:col>11</xdr:col>
      <xdr:colOff>600076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1D3BDE-A44A-F483-2B88-2FC79B657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1</xdr:row>
      <xdr:rowOff>42862</xdr:rowOff>
    </xdr:from>
    <xdr:to>
      <xdr:col>12</xdr:col>
      <xdr:colOff>0</xdr:colOff>
      <xdr:row>17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145B62-A90F-DA53-7324-4E9BE8FBA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</xdr:colOff>
      <xdr:row>1</xdr:row>
      <xdr:rowOff>4762</xdr:rowOff>
    </xdr:from>
    <xdr:to>
      <xdr:col>11</xdr:col>
      <xdr:colOff>590550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05B35-B468-116D-5224-EDD2D2B99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604836</xdr:colOff>
      <xdr:row>1</xdr:row>
      <xdr:rowOff>23811</xdr:rowOff>
    </xdr:from>
    <xdr:to>
      <xdr:col>12</xdr:col>
      <xdr:colOff>38100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173E4-DD61-1FEE-ED0E-AC29697A8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1</xdr:row>
      <xdr:rowOff>23812</xdr:rowOff>
    </xdr:from>
    <xdr:to>
      <xdr:col>11</xdr:col>
      <xdr:colOff>571499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9DBEC4-F97C-B4A3-3071-C24DBE4F1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585786</xdr:colOff>
      <xdr:row>1</xdr:row>
      <xdr:rowOff>4762</xdr:rowOff>
    </xdr:from>
    <xdr:to>
      <xdr:col>15</xdr:col>
      <xdr:colOff>380999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78BE92-9899-B143-89F8-96082FCE4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</xdr:colOff>
      <xdr:row>1</xdr:row>
      <xdr:rowOff>23811</xdr:rowOff>
    </xdr:from>
    <xdr:to>
      <xdr:col>12</xdr:col>
      <xdr:colOff>9524</xdr:colOff>
      <xdr:row>15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A89544-FA0A-BD64-7B32-6FD2E8B43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1</xdr:row>
      <xdr:rowOff>23812</xdr:rowOff>
    </xdr:from>
    <xdr:to>
      <xdr:col>11</xdr:col>
      <xdr:colOff>590549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2B56E-30F0-560F-06E6-8B392EFE0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</xdr:colOff>
      <xdr:row>1</xdr:row>
      <xdr:rowOff>33336</xdr:rowOff>
    </xdr:from>
    <xdr:to>
      <xdr:col>12</xdr:col>
      <xdr:colOff>66675</xdr:colOff>
      <xdr:row>17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B347A4-35BF-DBAB-0367-F4B25E929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1</xdr:row>
      <xdr:rowOff>14286</xdr:rowOff>
    </xdr:from>
    <xdr:to>
      <xdr:col>12</xdr:col>
      <xdr:colOff>38099</xdr:colOff>
      <xdr:row>16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1828C6-23E9-288C-0D97-736DAB3C2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14286</xdr:rowOff>
    </xdr:from>
    <xdr:to>
      <xdr:col>12</xdr:col>
      <xdr:colOff>9525</xdr:colOff>
      <xdr:row>15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A1C314-3F43-48E8-ECE8-B51511DE2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1</xdr:row>
      <xdr:rowOff>33337</xdr:rowOff>
    </xdr:from>
    <xdr:to>
      <xdr:col>13</xdr:col>
      <xdr:colOff>47625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7F9BE6-4D06-3B78-7188-AF48AC271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595311</xdr:colOff>
      <xdr:row>1</xdr:row>
      <xdr:rowOff>23812</xdr:rowOff>
    </xdr:from>
    <xdr:to>
      <xdr:col>11</xdr:col>
      <xdr:colOff>600074</xdr:colOff>
      <xdr:row>15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EA3910-E90E-A78B-E955-558FDD2C1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595312</xdr:colOff>
      <xdr:row>1</xdr:row>
      <xdr:rowOff>14287</xdr:rowOff>
    </xdr:from>
    <xdr:to>
      <xdr:col>12</xdr:col>
      <xdr:colOff>19050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8BC2B-41AD-E29A-E92F-B306E3A5C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61912</xdr:rowOff>
    </xdr:from>
    <xdr:to>
      <xdr:col>13</xdr:col>
      <xdr:colOff>190500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6487EB-D163-98BC-7F9A-B1FA237F8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152400</xdr:rowOff>
    </xdr:from>
    <xdr:to>
      <xdr:col>12</xdr:col>
      <xdr:colOff>514350</xdr:colOff>
      <xdr:row>15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0E2701-3671-AD63-0EC2-AD0239478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52386</xdr:rowOff>
    </xdr:from>
    <xdr:to>
      <xdr:col>11</xdr:col>
      <xdr:colOff>38100</xdr:colOff>
      <xdr:row>16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AC1CF8-CE5A-702E-DB07-5A94C1BA9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14288</xdr:rowOff>
    </xdr:from>
    <xdr:to>
      <xdr:col>12</xdr:col>
      <xdr:colOff>19050</xdr:colOff>
      <xdr:row>15</xdr:row>
      <xdr:rowOff>66676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F2F799-354B-05ED-1599-6D08C3EA8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566A42-CB4D-06AC-2285-EEB29C6D2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B4389-72F7-7EE0-47E8-448DA0F42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3AF7AC-2A2F-FA7A-1672-4CF4BAEF3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218612-612B-31C4-55D0-BA52BCEB5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1D00FF-D194-1A70-FC48-FF11B462F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1</xdr:row>
      <xdr:rowOff>14288</xdr:rowOff>
    </xdr:from>
    <xdr:to>
      <xdr:col>12</xdr:col>
      <xdr:colOff>180975</xdr:colOff>
      <xdr:row>15</xdr:row>
      <xdr:rowOff>66676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598DDA-4992-66A9-BC97-FBB074B39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5FCD44-7B4A-2899-101F-C8D3F6C9E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3D00CB-3FBC-B0F8-184C-FBDE0D581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289FC1-6983-6D19-6E64-EA97C9188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304942-DF02-70E2-7715-ABA0D8299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194BFA-B862-7DB6-6760-6F95D7D9F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A720A6-D57B-A7AD-62E1-67279572D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1757C2-06D5-80C3-A5D6-0ADB1DBB4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7606BA-AAD2-F164-5F3C-68D8FDF26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7A377-6CDB-0A70-4D76-EA417BB56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B27A2C-E81A-03E7-66DC-7BCBAFC5E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5D8BB4-553B-0845-16C4-7AB035846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5A8836-4BF1-45AF-1032-6C549DA51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B6EC9E-F077-0778-A221-EE3FDEA9E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127000</xdr:rowOff>
    </xdr:from>
    <xdr:to>
      <xdr:col>8</xdr:col>
      <xdr:colOff>0</xdr:colOff>
      <xdr:row>42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4B0CE7-8B04-A493-0652-6ACC59D6E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15</xdr:row>
      <xdr:rowOff>127000</xdr:rowOff>
    </xdr:from>
    <xdr:to>
      <xdr:col>21</xdr:col>
      <xdr:colOff>0</xdr:colOff>
      <xdr:row>42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0516BD-80C0-0554-E9CE-CD6DCD0A7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rnica Alexandru" id="{6170D5B1-AAC9-4CD2-961F-F2765C49AA63}" userId="23955d91da42c630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AF02FAF1-75C6-4E12-855B-FA409A2D4644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49CAA0D-7B10-4387-8BAD-E82255E46EF8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 Number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6FDC8D4F-EDBD-4F47-8E5C-C62BF10CBE80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051419FC-138A-4B4D-8E51-E1EB32B1C247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5D955991-0FF4-4609-A940-F28C79B07184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0" xr16:uid="{CFE731DE-BDC8-4E0D-8C97-B781858B4D52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9272C07D-AB4F-47BE-B459-587273AC6FDF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9" xr16:uid="{4F667312-BABC-4675-9C2D-635F26CCDDE4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8" xr16:uid="{C2F017A4-8817-4B71-AC62-6BD38260BA51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E8AB5063-D587-49CA-BF98-EA2C307131AF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2CC8DF9A-96ED-4244-B862-045570D3ADB1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29B4BE02-C726-429F-B898-D1E5DD51BF2D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9" xr16:uid="{4EBEBBCE-A142-4D2C-9702-2B67D22108C9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8" xr16:uid="{2CE9DE1A-5C33-4A50-816C-CC2CA38BC041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5" xr16:uid="{A6815CD9-EC86-4F5D-8B98-F4298523514B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4" xr16:uid="{C3CBF3BF-8941-4A2C-BC6B-903C9B542CB3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4" xr16:uid="{E0F4BED6-E474-4D89-884A-B30365F3FBAC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3" xr16:uid="{B07951A5-071F-42ED-B6AD-4C613D4E2C39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7" xr16:uid="{195F1E0C-5FBF-43A6-8F45-DA9087045F35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75A881-E824-468D-A895-9DE805EE96A9}" name="Table2" displayName="Table2" ref="A1:G21" totalsRowShown="0" headerRowDxfId="51" dataDxfId="49" headerRowBorderDxfId="50" tableBorderDxfId="48" totalsRowBorderDxfId="47">
  <autoFilter ref="A1:G21" xr:uid="{7B75A881-E824-468D-A895-9DE805EE96A9}"/>
  <sortState xmlns:xlrd2="http://schemas.microsoft.com/office/spreadsheetml/2017/richdata2" ref="A2:E21">
    <sortCondition ref="A1:A21"/>
  </sortState>
  <tableColumns count="7">
    <tableColumn id="1" xr3:uid="{61A5DF3B-B22E-4F10-86F6-B17B61C73FB7}" name="Rank" dataDxfId="46">
      <calculatedColumnFormula>ROW()-1</calculatedColumnFormula>
    </tableColumn>
    <tableColumn id="2" xr3:uid="{63A8C08F-708E-4A9C-8E79-30833617925F}" name="Book Title" dataDxfId="45"/>
    <tableColumn id="3" xr3:uid="{7F08AB42-B538-4077-BD6B-F1E639EAAD1F}" name="Author" dataDxfId="44"/>
    <tableColumn id="5" xr3:uid="{CF8AB864-85AA-405B-9D6B-CF108096C152}" name="Average Rating" dataDxfId="43"/>
    <tableColumn id="6" xr3:uid="{36AB371A-47E0-4C60-94E4-5639F3A56CE8}" name="Rating Number" dataDxfId="42" dataCellStyle="Comma"/>
    <tableColumn id="4" xr3:uid="{F95FDF59-E093-4ACC-9AEF-956A3DA07B17}" name="Copies Sold (millions)" dataDxfId="41"/>
    <tableColumn id="7" xr3:uid="{5D4D0D05-0D28-4318-935A-DBAEE1F78B8E}" name="Genre" dataDxfId="40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D6B052-5184-4AC2-84D5-33AA3B84607B}" name="The_Lord_of_the_Rings__The_Lord_of_the_Rings___1_3__RATING" displayName="The_Lord_of_the_Rings__The_Lord_of_the_Rings___1_3__RATING" ref="A1:B6" tableType="queryTable" totalsRowShown="0">
  <autoFilter ref="A1:B6" xr:uid="{F4D6B052-5184-4AC2-84D5-33AA3B84607B}"/>
  <sortState xmlns:xlrd2="http://schemas.microsoft.com/office/spreadsheetml/2017/richdata2" ref="A2:B6">
    <sortCondition ref="A1:A6"/>
  </sortState>
  <tableColumns count="2">
    <tableColumn id="1" xr3:uid="{BEE74EDF-E1EA-488E-A4CB-1963F60A913E}" uniqueName="1" name="Rating" queryTableFieldId="1" dataDxfId="39"/>
    <tableColumn id="2" xr3:uid="{1CD86947-6A56-46D6-905B-82B068E2856C}" uniqueName="2" name="Rating number" queryTableFieldId="2" dataDxfId="38" data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B2E166-E0BA-4783-8144-1DF986C397D6}" name="Harry_Potter_and_the_Sorcerer_s_Stone" displayName="Harry_Potter_and_the_Sorcerer_s_Stone" ref="A1:B6" tableType="queryTable" totalsRowShown="0">
  <autoFilter ref="A1:B6" xr:uid="{CEB2E166-E0BA-4783-8144-1DF986C397D6}"/>
  <sortState xmlns:xlrd2="http://schemas.microsoft.com/office/spreadsheetml/2017/richdata2" ref="A2:B6">
    <sortCondition ref="A1:A6"/>
  </sortState>
  <tableColumns count="2">
    <tableColumn id="1" xr3:uid="{D3A31DC4-DB73-4F9E-A562-EC63A266712B}" uniqueName="1" name="Rating" queryTableFieldId="1" dataDxfId="37"/>
    <tableColumn id="2" xr3:uid="{2295C477-B50A-4DC2-846E-FDC6BE0F4D55}" uniqueName="2" name="Rating  Number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946E06-78B1-4E98-ABB2-F63EC8EF7713}" name="Gone_With_the_Wind" displayName="Gone_With_the_Wind" ref="A1:B6" tableType="queryTable" totalsRowShown="0">
  <autoFilter ref="A1:B6" xr:uid="{D4946E06-78B1-4E98-ABB2-F63EC8EF7713}"/>
  <sortState xmlns:xlrd2="http://schemas.microsoft.com/office/spreadsheetml/2017/richdata2" ref="A2:B6">
    <sortCondition ref="A1:A6"/>
  </sortState>
  <tableColumns count="2">
    <tableColumn id="1" xr3:uid="{24417E47-D507-472E-8B4C-5766AE9430A5}" uniqueName="1" name="Rating" queryTableFieldId="1" dataDxfId="36"/>
    <tableColumn id="2" xr3:uid="{B2318766-BCF4-47BD-9896-A4A27E8B8A93}" uniqueName="2" name="Rating Number" queryTableField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860CF5-8923-4908-809A-B06BED1208C3}" name="The_Hunger_Games__The_Hunger_Games___1" displayName="The_Hunger_Games__The_Hunger_Games___1" ref="A1:B6" tableType="queryTable" totalsRowShown="0">
  <autoFilter ref="A1:B6" xr:uid="{32860CF5-8923-4908-809A-B06BED1208C3}"/>
  <sortState xmlns:xlrd2="http://schemas.microsoft.com/office/spreadsheetml/2017/richdata2" ref="A2:B6">
    <sortCondition ref="A1:A6"/>
  </sortState>
  <tableColumns count="2">
    <tableColumn id="1" xr3:uid="{7054F6CF-02D4-44D3-96C3-FC8C657F45DB}" uniqueName="1" name="Rating" queryTableFieldId="1" dataDxfId="35"/>
    <tableColumn id="2" xr3:uid="{4C5F16C2-DBB2-4230-9741-5DF1EF261AFD}" uniqueName="2" name="Rating Number" queryTableFieldId="2" dataDxfId="34" dataCellStyle="Comm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6FDEC02-FABB-41D8-A294-E78EECCFCB23}" name="The_GodFather" displayName="The_GodFather" ref="A1:B6" tableType="queryTable" totalsRowShown="0">
  <autoFilter ref="A1:B6" xr:uid="{56FDEC02-FABB-41D8-A294-E78EECCFCB23}"/>
  <sortState xmlns:xlrd2="http://schemas.microsoft.com/office/spreadsheetml/2017/richdata2" ref="A2:B6">
    <sortCondition descending="1" ref="A1:A6"/>
  </sortState>
  <tableColumns count="2">
    <tableColumn id="1" xr3:uid="{63F80BA4-B51A-44EB-8C03-31D4F7E357AC}" uniqueName="1" name="Rating" queryTableFieldId="1" dataDxfId="33"/>
    <tableColumn id="2" xr3:uid="{97CB64CA-B6C1-4656-BB6E-6AA5F10D3301}" uniqueName="2" name="Rating Number" queryTableFieldId="2" dataDxfId="32" dataCellStyle="Comm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C147EA6-DC6A-4BE6-ACE1-72A7BB2D83D2}" name="To_Kill_A_Mockingbird" displayName="To_Kill_A_Mockingbird" ref="A1:B6" tableType="queryTable" totalsRowShown="0">
  <autoFilter ref="A1:B6" xr:uid="{4C147EA6-DC6A-4BE6-ACE1-72A7BB2D83D2}"/>
  <tableColumns count="2">
    <tableColumn id="1" xr3:uid="{D0B4DFBF-7C48-4313-95F4-C08122913C31}" uniqueName="1" name="Rating" queryTableFieldId="1" dataDxfId="31"/>
    <tableColumn id="2" xr3:uid="{34DFCD40-5D7D-499A-A1B4-C5D8EF85C690}" uniqueName="2" name="Rating Number" queryTableFieldId="2" dataDxfId="30" dataCellStyle="Com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F89D1EA-2BB8-45B7-A11A-E3AB9684C738}" name="Pride_and_Prejudice" displayName="Pride_and_Prejudice" ref="A1:B6" tableType="queryTable" totalsRowShown="0">
  <autoFilter ref="A1:B6" xr:uid="{1F89D1EA-2BB8-45B7-A11A-E3AB9684C738}"/>
  <tableColumns count="2">
    <tableColumn id="1" xr3:uid="{B5AC5573-272B-4047-9617-31AD55DDFD34}" uniqueName="1" name="Rating" queryTableFieldId="1" dataDxfId="29"/>
    <tableColumn id="2" xr3:uid="{E53231BC-882E-4A55-A4B2-7D70123485A8}" uniqueName="2" name="Rating Number" queryTableFieldId="2" dataDxfId="28" dataCellStyle="Comm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283A4E-24C3-43CD-8F62-C8A36A801797}" name="The_Silence_of_the_Lambs" displayName="The_Silence_of_the_Lambs" ref="A1:B6" tableType="queryTable" totalsRowShown="0">
  <autoFilter ref="A1:B6" xr:uid="{8C283A4E-24C3-43CD-8F62-C8A36A801797}"/>
  <tableColumns count="2">
    <tableColumn id="1" xr3:uid="{BA865CEB-1B92-4583-BB20-24394612C691}" uniqueName="1" name="Rating" queryTableFieldId="1" dataDxfId="27"/>
    <tableColumn id="2" xr3:uid="{3911D65F-FD8C-4F89-AE5C-83B57693A458}" uniqueName="2" name="Rating Number" queryTableFieldId="2" dataDxfId="26" dataCellStyle="Comm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024FEB6-A0C6-4547-ADD3-E62BF0DF0762}" name="The_Shining" displayName="The_Shining" ref="A1:B6" tableType="queryTable" totalsRowShown="0">
  <autoFilter ref="A1:B6" xr:uid="{F024FEB6-A0C6-4547-ADD3-E62BF0DF0762}"/>
  <tableColumns count="2">
    <tableColumn id="1" xr3:uid="{3409DAE2-C80F-449E-8766-717AEC61E352}" uniqueName="1" name="Rating" queryTableFieldId="1" dataDxfId="25"/>
    <tableColumn id="2" xr3:uid="{48D30740-4D92-444D-B928-807FAFFEB664}" uniqueName="2" name="Rating Number" queryTableFieldId="2" dataDxfId="24" dataCellStyle="Comm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761699-9B1B-4043-BE73-C6E121B78690}" name="The_Girl_With_the_Dragon_Tattoo" displayName="The_Girl_With_the_Dragon_Tattoo" ref="A1:B6" tableType="queryTable" totalsRowShown="0">
  <autoFilter ref="A1:B6" xr:uid="{B9761699-9B1B-4043-BE73-C6E121B78690}"/>
  <tableColumns count="2">
    <tableColumn id="1" xr3:uid="{7DCB4565-1D4D-4C5C-84EA-8974C5BA2DE2}" uniqueName="1" name="Rating" queryTableFieldId="1" dataDxfId="23"/>
    <tableColumn id="2" xr3:uid="{489F40BA-9752-4733-B369-A63ABD791E7C}" uniqueName="2" name="Rating Number" queryTableFieldId="2" dataDxfId="22" dataCellStyle="Comm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2529C56-3EAB-4642-A1B3-D15AA3382909}" name="A_Game_of_Thrones" displayName="A_Game_of_Thrones" ref="A1:B6" tableType="queryTable" totalsRowShown="0">
  <autoFilter ref="A1:B6" xr:uid="{02529C56-3EAB-4642-A1B3-D15AA3382909}"/>
  <tableColumns count="2">
    <tableColumn id="1" xr3:uid="{496B6BA4-E583-44F9-8AA8-FFB93746940B}" uniqueName="1" name="Rating" queryTableFieldId="1" dataDxfId="21"/>
    <tableColumn id="2" xr3:uid="{EBC5459F-B25A-478A-BFC2-422FFD0C6153}" uniqueName="2" name="Rating Number" queryTableFieldId="2" dataDxfId="20" dataCellStyle="Comm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24C63A8-3F4B-43B4-8356-6D1347E14119}" name="The_Great_Gatsby" displayName="The_Great_Gatsby" ref="A1:B6" tableType="queryTable" totalsRowShown="0">
  <autoFilter ref="A1:B6" xr:uid="{824C63A8-3F4B-43B4-8356-6D1347E14119}"/>
  <tableColumns count="2">
    <tableColumn id="1" xr3:uid="{3BDEDF59-D098-4B5F-861B-74A34B207561}" uniqueName="1" name="Rating" queryTableFieldId="1" dataDxfId="19"/>
    <tableColumn id="2" xr3:uid="{CFCE7443-49F3-4C86-9D2B-868C8154D302}" uniqueName="2" name="Rating Number" queryTableFieldId="2" dataDxfId="18" dataCellStyle="Comm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EE4761D-5958-4573-8153-E206592F0E48}" name="One_Flew_Over_the_Cuckoo_s_Nest" displayName="One_Flew_Over_the_Cuckoo_s_Nest" ref="A1:B6" tableType="queryTable" totalsRowShown="0">
  <autoFilter ref="A1:B6" xr:uid="{BEE4761D-5958-4573-8153-E206592F0E48}"/>
  <tableColumns count="2">
    <tableColumn id="1" xr3:uid="{65562C24-B358-45DE-B9E3-C7588732C2CA}" uniqueName="1" name="Rating" queryTableFieldId="1" dataDxfId="17"/>
    <tableColumn id="2" xr3:uid="{FF2937A6-2BE4-4620-831B-5F19AA875B5E}" uniqueName="2" name="Rating Number" queryTableFieldId="2" dataDxfId="16" dataCellStyle="Comm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5853C1D-1F0A-42DD-9E82-59FC9CFE5815}" name="Jurassic_Park" displayName="Jurassic_Park" ref="A1:B6" tableType="queryTable" totalsRowShown="0">
  <autoFilter ref="A1:B6" xr:uid="{75853C1D-1F0A-42DD-9E82-59FC9CFE5815}"/>
  <tableColumns count="2">
    <tableColumn id="1" xr3:uid="{28C63449-380C-4C00-8D7F-27367C296400}" uniqueName="1" name="Rating" queryTableFieldId="1" dataDxfId="15"/>
    <tableColumn id="2" xr3:uid="{D27D8CA6-D1B0-4869-B29C-BF01C4F93956}" uniqueName="2" name="Rating Number" queryTableFieldId="2" dataDxfId="14" dataCellStyle="Comm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3A548CB-752E-4E38-A948-A439AFD2CA6A}" name="Fight_Club" displayName="Fight_Club" ref="A1:B6" tableType="queryTable" totalsRowShown="0">
  <autoFilter ref="A1:B6" xr:uid="{13A548CB-752E-4E38-A948-A439AFD2CA6A}"/>
  <tableColumns count="2">
    <tableColumn id="1" xr3:uid="{FE0EFA46-0874-448A-8611-A35BD67177D9}" uniqueName="1" name="Rating" queryTableFieldId="1" dataDxfId="13"/>
    <tableColumn id="2" xr3:uid="{CE26B79B-F447-4F1B-9574-DA011DB9BFCA}" uniqueName="2" name="Rating Number" queryTableFieldId="2" dataDxfId="12" dataCellStyle="Comm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0CAB5B9-46B0-4389-8F68-C93052AC7838}" name="The_Handmaid_s_Tale" displayName="The_Handmaid_s_Tale" ref="A1:B6" tableType="queryTable" totalsRowShown="0">
  <autoFilter ref="A1:B6" xr:uid="{70CAB5B9-46B0-4389-8F68-C93052AC7838}"/>
  <tableColumns count="2">
    <tableColumn id="1" xr3:uid="{5044E0CF-B0EC-4726-86C6-4F0022DA490C}" uniqueName="1" name="Rating" queryTableFieldId="1" dataDxfId="11"/>
    <tableColumn id="2" xr3:uid="{E7F3DB48-7040-4F14-8B77-C57B4FBE8AEC}" uniqueName="2" name="Rating Number" queryTableFieldId="2" dataDxfId="10" dataCellStyle="Comm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D37BD63-3D9C-45A4-A6E5-68D35875E699}" name="Dracula" displayName="Dracula" ref="A1:B6" tableType="queryTable" totalsRowShown="0">
  <autoFilter ref="A1:B6" xr:uid="{2D37BD63-3D9C-45A4-A6E5-68D35875E699}"/>
  <tableColumns count="2">
    <tableColumn id="1" xr3:uid="{8B710A3A-F411-4B72-BD51-480F8A26F833}" uniqueName="1" name="Rating" queryTableFieldId="1" dataDxfId="9"/>
    <tableColumn id="2" xr3:uid="{73254228-1250-442C-ABB0-90F0AF9615CA}" uniqueName="2" name="Rating Number" queryTableFieldId="2" dataDxfId="8" dataCellStyle="Comm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42D5B68-F44E-42B1-B507-A62B20A8DB7E}" name="Do_Androids_Dream_of_Electric_Sheep?" displayName="Do_Androids_Dream_of_Electric_Sheep?" ref="A1:B6" tableType="queryTable" totalsRowShown="0">
  <autoFilter ref="A1:B6" xr:uid="{242D5B68-F44E-42B1-B507-A62B20A8DB7E}"/>
  <tableColumns count="2">
    <tableColumn id="1" xr3:uid="{2AA33E29-7E96-4026-ABB0-353CE7158E8A}" uniqueName="1" name="Rating" queryTableFieldId="1" dataDxfId="7"/>
    <tableColumn id="2" xr3:uid="{A24BA709-85DE-4A85-A4BE-62595CB7482F}" uniqueName="2" name="Rating Number" queryTableFieldId="2" dataDxfId="6" dataCellStyle="Comma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920DB17-323D-4F49-8090-E865F3A37785}" name="The_Notebook" displayName="The_Notebook" ref="A1:B6" tableType="queryTable" totalsRowShown="0">
  <autoFilter ref="A1:B6" xr:uid="{8920DB17-323D-4F49-8090-E865F3A37785}"/>
  <tableColumns count="2">
    <tableColumn id="1" xr3:uid="{3F60219F-C878-4A59-830F-AC510AA8EBA8}" uniqueName="1" name="Rating" queryTableFieldId="1" dataDxfId="5"/>
    <tableColumn id="2" xr3:uid="{04A6E80A-E641-4E58-A0F2-B5CF23FEBB7A}" uniqueName="2" name="Rating Number" queryTableFieldId="2" dataDxfId="4" dataCellStyle="Comma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E6567F6-10FC-4686-86A1-D4CB8AC1EF58}" name="Table22" displayName="Table22" ref="A1:B11" totalsRowShown="0">
  <autoFilter ref="A1:B11" xr:uid="{3E6567F6-10FC-4686-86A1-D4CB8AC1EF58}"/>
  <tableColumns count="2">
    <tableColumn id="1" xr3:uid="{21A19CB6-97C9-43EA-9CCA-C90BD4430876}" name="Rating"/>
    <tableColumn id="2" xr3:uid="{F97F51BB-D82E-43FA-9A74-0A670C3004EA}" name="Rating Number" dataDxfId="3" dataCellStyle="Comma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67C3E41-EB5B-42C9-8080-B77CFA737FCD}" name="Table23" displayName="Table23" ref="A1:B11" totalsRowShown="0" headerRowBorderDxfId="2" tableBorderDxfId="1">
  <autoFilter ref="A1:B11" xr:uid="{967C3E41-EB5B-42C9-8080-B77CFA737FCD}"/>
  <tableColumns count="2">
    <tableColumn id="1" xr3:uid="{036B050F-4C5E-41E7-8391-D08A42F91BDD}" name="Rating" dataDxfId="0"/>
    <tableColumn id="2" xr3:uid="{A06C5B6C-86DF-4157-9D09-6EC0AB439342}" name="Rating Nu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703C7CD-8429-4A81-9BF9-89A35BF0B9D2}" name="Table24" displayName="Table24" ref="A1:B11" totalsRowShown="0">
  <autoFilter ref="A1:B11" xr:uid="{7703C7CD-8429-4A81-9BF9-89A35BF0B9D2}"/>
  <tableColumns count="2">
    <tableColumn id="1" xr3:uid="{F583E2CA-4046-4052-9E43-B9BE6317E0EE}" name="Rating"/>
    <tableColumn id="2" xr3:uid="{98D37C60-263D-4E5F-BB60-D0B77FF63865}" name="Rating Number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6-04-24T23:55:03.34" personId="{6170D5B1-AAC9-4CD2-961F-F2765C49AA63}" id="{52EF277B-367F-48BD-94BD-F7C1B059A30A}">
    <text>Note: Trilogy total (hard to split per volume)
Source: https://en.wikipedia.org/wiki/The_Lord_of_the_Rings</text>
  </threadedComment>
  <threadedComment ref="F3" dT="2026-04-24T23:55:03.34" personId="{6170D5B1-AAC9-4CD2-961F-F2765C49AA63}" id="{58E434AB-4090-495E-8AD7-0394E149D1BB}">
    <text>Note: First book only
Source: https://en.wikipedia.org/wiki/Harry_Potter_and_the_Philosopher%27s_Stone</text>
  </threadedComment>
  <threadedComment ref="F4" dT="2026-04-24T23:55:03.34" personId="{6170D5B1-AAC9-4CD2-961F-F2765C49AA63}" id="{950134A0-7E93-4A33-8FB1-D23486F4C574}">
    <text>Source: https://en.wikipedia.org/wiki/Gone_with_the_Wind_(novel)</text>
  </threadedComment>
  <threadedComment ref="F5" dT="2026-04-24T23:55:03.35" personId="{6170D5B1-AAC9-4CD2-961F-F2765C49AA63}" id="{359212BC-F372-4722-8375-1FC48B4286F2}">
    <text>⚠ Approximate figure
Note: First book estimate (trilogy total = 100M+)
Source: https://en.wikipedia.org/wiki/The_Hunger_Games_(novel)</text>
  </threadedComment>
  <threadedComment ref="F6" dT="2026-04-24T23:55:03.35" personId="{6170D5B1-AAC9-4CD2-961F-F2765C49AA63}" id="{F85D0541-EBB0-4CAB-A093-E3661851447B}">
    <text>Source: https://en.wikipedia.org/wiki/The_Godfather_(novel)</text>
  </threadedComment>
  <threadedComment ref="F7" dT="2026-04-24T23:55:03.35" personId="{6170D5B1-AAC9-4CD2-961F-F2765C49AA63}" id="{8FDCF55D-13BB-4E7B-B95C-B91B5E9C39C2}">
    <text>Source: https://en.wikipedia.org/wiki/To_Kill_a_Mockingbird</text>
  </threadedComment>
  <threadedComment ref="F8" dT="2026-04-24T23:55:03.36" personId="{6170D5B1-AAC9-4CD2-961F-F2765C49AA63}" id="{57B38388-977C-48CC-9DE4-3101D73D94FC}">
    <text>⚠ Approximate figure
Note: Estimate — no exact figure (public domain, many editions)
Source: https://en.wikipedia.org/wiki/Pride_and_Prejudice</text>
  </threadedComment>
  <threadedComment ref="F9" dT="2026-04-24T23:55:03.36" personId="{6170D5B1-AAC9-4CD2-961F-F2765C49AA63}" id="{B6537BA9-61CC-45C7-BD5F-CC7C97373A53}">
    <text>Source: https://en.wikipedia.org/wiki/The_Silence_of_the_Lambs_(novel)</text>
  </threadedComment>
  <threadedComment ref="F10" dT="2026-04-24T23:55:03.36" personId="{6170D5B1-AAC9-4CD2-961F-F2765C49AA63}" id="{0B1F6FC4-6B2B-4F88-848B-A610F2705850}">
    <text>Note: First book only
Source: https://en.wikipedia.org/wiki/The_Girl_with_the_Dragon_Tattoo</text>
  </threadedComment>
  <threadedComment ref="F11" dT="2026-04-24T23:55:03.36" personId="{6170D5B1-AAC9-4CD2-961F-F2765C49AA63}" id="{9748F69F-1A6D-4066-B6AD-756F24F60B15}">
    <text>Note: First book only (series total = 90M+)
Source: https://en.wikipedia.org/wiki/A_Game_of_Thrones</text>
  </threadedComment>
  <threadedComment ref="F12" dT="2026-04-24T23:55:03.37" personId="{6170D5B1-AAC9-4CD2-961F-F2765C49AA63}" id="{3C9511DD-FDB0-410C-847A-8BADEAD49A4C}">
    <text>⚠ Approximate figure
Note: Estimate
Source: https://en.wikipedia.org/wiki/The_Shining_(novel)</text>
  </threadedComment>
  <threadedComment ref="F13" dT="2026-04-24T23:55:03.37" personId="{6170D5B1-AAC9-4CD2-961F-F2765C49AA63}" id="{6BD3D056-02C0-4D30-AC0A-4E4452A9579F}">
    <text>⚠ Approximate figure
Note: Estimate
Source: https://en.wikipedia.org/wiki/The_Notebook</text>
  </threadedComment>
  <threadedComment ref="F14" dT="2026-04-24T23:55:03.37" personId="{6170D5B1-AAC9-4CD2-961F-F2765C49AA63}" id="{0ECAAD5C-401B-4646-96F5-C3728861E2DB}">
    <text>⚠ Approximate figure
Note: Estimate
Source: https://en.wikipedia.org/wiki/One_Flew_Over_the_Cuckoo%27s_Nest_(novel)</text>
  </threadedComment>
  <threadedComment ref="F15" dT="2026-04-24T23:55:03.38" personId="{6170D5B1-AAC9-4CD2-961F-F2765C49AA63}" id="{83B6120B-2630-409A-91AF-49B778E9B1BA}">
    <text>⚠ Approximate figure
Note: Estimate — public domain, many editions
Source: https://en.wikipedia.org/wiki/Dracula</text>
  </threadedComment>
  <threadedComment ref="F16" dT="2026-04-24T23:55:03.38" personId="{6170D5B1-AAC9-4CD2-961F-F2765C49AA63}" id="{B86D4297-6D5F-443D-973E-58AF829E87BE}">
    <text>Source: https://en.wikipedia.org/wiki/Jurassic_Park_(novel)</text>
  </threadedComment>
  <threadedComment ref="F17" dT="2026-04-24T23:55:03.38" personId="{6170D5B1-AAC9-4CD2-961F-F2765C49AA63}" id="{727889FF-4290-4EB3-B645-DDB6FC93B145}">
    <text>Source: https://en.wikipedia.org/wiki/The_Great_Gatsby</text>
  </threadedComment>
  <threadedComment ref="F18" dT="2026-04-24T23:55:03.38" personId="{6170D5B1-AAC9-4CD2-961F-F2765C49AA63}" id="{0B2466C3-862F-4AC0-993C-B4394D526134}">
    <text>⚠ Approximate figure
Note: No official figure published
Source: https://en.wikipedia.org/wiki/Fight_Club_(novel)</text>
  </threadedComment>
  <threadedComment ref="F19" dT="2026-04-24T23:55:03.39" personId="{6170D5B1-AAC9-4CD2-961F-F2765C49AA63}" id="{D1FCF3E1-5CA2-4339-AFF8-F86FB3AD2610}">
    <text>⚠ Approximate figure
Note: No official figure published
Source: https://en.wikipedia.org/wiki/Do_Androids_Dream_of_Electric_Sheep%3F</text>
  </threadedComment>
  <threadedComment ref="F20" dT="2026-04-24T23:55:03.39" personId="{6170D5B1-AAC9-4CD2-961F-F2765C49AA63}" id="{5866352A-1058-480F-8F76-53019CCC7DBB}">
    <text>⚠ Approximate figure
Note: Estimate
Source: https://en.wikipedia.org/wiki/Schindler%27s_Ark</text>
  </threadedComment>
  <threadedComment ref="F21" dT="2026-04-24T23:55:03.39" personId="{6170D5B1-AAC9-4CD2-961F-F2765C49AA63}" id="{C87D4190-8045-4FF8-B369-BF650C997774}">
    <text>⚠ Approximate figure
Note: Estimate
Source: https://en.wikipedia.org/wiki/The_Handmaid%27s_Tale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6BC7F3D-80B4-4D00-ADFF-2D5CC2EDC50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3326052-d5f8-48d9-9c59-cd7dd71cfcb1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AE7F1E-232D-8543-8FD0-910F4214C5AA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D95F-F061-44FA-B710-06B1FBDE1CA6}">
  <dimension ref="A1:G21"/>
  <sheetViews>
    <sheetView zoomScaleNormal="100" workbookViewId="0">
      <pane ySplit="1" topLeftCell="A2" activePane="bottomLeft" state="frozen"/>
      <selection pane="bottomLeft" activeCell="F29" sqref="F29"/>
    </sheetView>
  </sheetViews>
  <sheetFormatPr defaultColWidth="8.85546875" defaultRowHeight="15" x14ac:dyDescent="0.25"/>
  <cols>
    <col min="1" max="1" width="9.5703125" customWidth="1"/>
    <col min="2" max="2" width="53.28515625" customWidth="1"/>
    <col min="3" max="3" width="24.7109375" customWidth="1"/>
    <col min="4" max="4" width="19" customWidth="1"/>
    <col min="5" max="5" width="21" style="1" customWidth="1"/>
    <col min="6" max="6" width="28" bestFit="1" customWidth="1"/>
    <col min="7" max="7" width="20.140625" bestFit="1" customWidth="1"/>
  </cols>
  <sheetData>
    <row r="1" spans="1:7" ht="20.100000000000001" customHeigh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25" t="s">
        <v>4</v>
      </c>
      <c r="F1" s="11" t="s">
        <v>63</v>
      </c>
      <c r="G1" s="10" t="s">
        <v>106</v>
      </c>
    </row>
    <row r="2" spans="1:7" ht="18" customHeight="1" x14ac:dyDescent="0.25">
      <c r="A2" s="12">
        <f>ROW()-1</f>
        <v>1</v>
      </c>
      <c r="B2" s="6" t="s">
        <v>5</v>
      </c>
      <c r="C2" s="5" t="s">
        <v>6</v>
      </c>
      <c r="D2" s="13">
        <v>4.54</v>
      </c>
      <c r="E2" s="26">
        <v>738402</v>
      </c>
      <c r="F2" s="14">
        <v>150</v>
      </c>
      <c r="G2" s="26" t="s">
        <v>107</v>
      </c>
    </row>
    <row r="3" spans="1:7" ht="18" customHeight="1" x14ac:dyDescent="0.25">
      <c r="A3" s="15">
        <f t="shared" ref="A3:A21" si="0">ROW()-1</f>
        <v>2</v>
      </c>
      <c r="B3" s="8" t="s">
        <v>7</v>
      </c>
      <c r="C3" s="7" t="s">
        <v>8</v>
      </c>
      <c r="D3" s="16">
        <v>4.47</v>
      </c>
      <c r="E3" s="27">
        <v>11569079</v>
      </c>
      <c r="F3" s="17">
        <v>120</v>
      </c>
      <c r="G3" s="27" t="s">
        <v>107</v>
      </c>
    </row>
    <row r="4" spans="1:7" ht="18" customHeight="1" x14ac:dyDescent="0.25">
      <c r="A4" s="12">
        <f t="shared" si="0"/>
        <v>3</v>
      </c>
      <c r="B4" s="6" t="s">
        <v>9</v>
      </c>
      <c r="C4" s="5" t="s">
        <v>10</v>
      </c>
      <c r="D4" s="13">
        <v>4.3099999999999996</v>
      </c>
      <c r="E4" s="26">
        <v>1262711</v>
      </c>
      <c r="F4" s="14">
        <v>30</v>
      </c>
      <c r="G4" s="26" t="s">
        <v>108</v>
      </c>
    </row>
    <row r="5" spans="1:7" ht="18" customHeight="1" x14ac:dyDescent="0.25">
      <c r="A5" s="15">
        <f t="shared" si="0"/>
        <v>4</v>
      </c>
      <c r="B5" s="8" t="s">
        <v>11</v>
      </c>
      <c r="C5" s="7" t="s">
        <v>12</v>
      </c>
      <c r="D5" s="16">
        <v>4.3499999999999996</v>
      </c>
      <c r="E5" s="27">
        <v>10056107</v>
      </c>
      <c r="F5" s="17">
        <v>65</v>
      </c>
      <c r="G5" s="27" t="s">
        <v>109</v>
      </c>
    </row>
    <row r="6" spans="1:7" ht="18" customHeight="1" x14ac:dyDescent="0.25">
      <c r="A6" s="12">
        <f t="shared" si="0"/>
        <v>5</v>
      </c>
      <c r="B6" s="6" t="s">
        <v>13</v>
      </c>
      <c r="C6" s="5" t="s">
        <v>14</v>
      </c>
      <c r="D6" s="13">
        <v>4.4000000000000004</v>
      </c>
      <c r="E6" s="26">
        <v>469814</v>
      </c>
      <c r="F6" s="14">
        <v>21</v>
      </c>
      <c r="G6" s="26" t="s">
        <v>110</v>
      </c>
    </row>
    <row r="7" spans="1:7" ht="18" customHeight="1" x14ac:dyDescent="0.25">
      <c r="A7" s="15">
        <f t="shared" si="0"/>
        <v>6</v>
      </c>
      <c r="B7" s="8" t="s">
        <v>15</v>
      </c>
      <c r="C7" s="7" t="s">
        <v>16</v>
      </c>
      <c r="D7" s="16">
        <v>4.26</v>
      </c>
      <c r="E7" s="27">
        <v>6978116</v>
      </c>
      <c r="F7" s="17">
        <v>40</v>
      </c>
      <c r="G7" s="27" t="s">
        <v>111</v>
      </c>
    </row>
    <row r="8" spans="1:7" ht="18" customHeight="1" x14ac:dyDescent="0.25">
      <c r="A8" s="12">
        <f t="shared" si="0"/>
        <v>7</v>
      </c>
      <c r="B8" s="6" t="s">
        <v>17</v>
      </c>
      <c r="C8" s="5" t="s">
        <v>18</v>
      </c>
      <c r="D8" s="13">
        <v>4.3</v>
      </c>
      <c r="E8" s="26">
        <v>4887752</v>
      </c>
      <c r="F8" s="14">
        <v>20</v>
      </c>
      <c r="G8" s="26" t="s">
        <v>112</v>
      </c>
    </row>
    <row r="9" spans="1:7" ht="18" customHeight="1" x14ac:dyDescent="0.25">
      <c r="A9" s="15">
        <f t="shared" si="0"/>
        <v>8</v>
      </c>
      <c r="B9" s="8" t="s">
        <v>44</v>
      </c>
      <c r="C9" s="7" t="s">
        <v>39</v>
      </c>
      <c r="D9" s="16">
        <v>4.26</v>
      </c>
      <c r="E9" s="27">
        <v>593207</v>
      </c>
      <c r="F9" s="17">
        <v>10</v>
      </c>
      <c r="G9" s="27" t="s">
        <v>113</v>
      </c>
    </row>
    <row r="10" spans="1:7" ht="18" customHeight="1" x14ac:dyDescent="0.25">
      <c r="A10" s="12">
        <f t="shared" si="0"/>
        <v>9</v>
      </c>
      <c r="B10" s="6" t="s">
        <v>19</v>
      </c>
      <c r="C10" s="5" t="s">
        <v>20</v>
      </c>
      <c r="D10" s="13">
        <v>4.18</v>
      </c>
      <c r="E10" s="26">
        <v>3479825</v>
      </c>
      <c r="F10" s="14">
        <v>10</v>
      </c>
      <c r="G10" s="26" t="s">
        <v>114</v>
      </c>
    </row>
    <row r="11" spans="1:7" ht="18" customHeight="1" x14ac:dyDescent="0.25">
      <c r="A11" s="15">
        <f t="shared" si="0"/>
        <v>10</v>
      </c>
      <c r="B11" s="8" t="s">
        <v>21</v>
      </c>
      <c r="C11" s="7" t="s">
        <v>22</v>
      </c>
      <c r="D11" s="16">
        <v>4.45</v>
      </c>
      <c r="E11" s="27">
        <v>2766378</v>
      </c>
      <c r="F11" s="17">
        <v>30</v>
      </c>
      <c r="G11" s="27" t="s">
        <v>107</v>
      </c>
    </row>
    <row r="12" spans="1:7" ht="18" customHeight="1" x14ac:dyDescent="0.25">
      <c r="A12" s="12">
        <f t="shared" si="0"/>
        <v>11</v>
      </c>
      <c r="B12" s="6" t="s">
        <v>23</v>
      </c>
      <c r="C12" s="5" t="s">
        <v>40</v>
      </c>
      <c r="D12" s="13">
        <v>4.28</v>
      </c>
      <c r="E12" s="26">
        <v>1731874</v>
      </c>
      <c r="F12" s="14">
        <v>15</v>
      </c>
      <c r="G12" s="26" t="s">
        <v>115</v>
      </c>
    </row>
    <row r="13" spans="1:7" ht="18" customHeight="1" x14ac:dyDescent="0.25">
      <c r="A13" s="15">
        <f t="shared" si="0"/>
        <v>12</v>
      </c>
      <c r="B13" s="8" t="s">
        <v>24</v>
      </c>
      <c r="C13" s="7" t="s">
        <v>25</v>
      </c>
      <c r="D13" s="16">
        <v>4.17</v>
      </c>
      <c r="E13" s="27">
        <v>1854326</v>
      </c>
      <c r="F13" s="17">
        <v>30</v>
      </c>
      <c r="G13" s="27" t="s">
        <v>116</v>
      </c>
    </row>
    <row r="14" spans="1:7" ht="18" customHeight="1" x14ac:dyDescent="0.25">
      <c r="A14" s="12">
        <f t="shared" si="0"/>
        <v>13</v>
      </c>
      <c r="B14" s="6" t="s">
        <v>41</v>
      </c>
      <c r="C14" s="5" t="s">
        <v>26</v>
      </c>
      <c r="D14" s="13">
        <v>4.2</v>
      </c>
      <c r="E14" s="26">
        <v>786467</v>
      </c>
      <c r="F14" s="14">
        <v>8</v>
      </c>
      <c r="G14" s="26" t="s">
        <v>117</v>
      </c>
    </row>
    <row r="15" spans="1:7" ht="18" customHeight="1" x14ac:dyDescent="0.25">
      <c r="A15" s="15">
        <f t="shared" si="0"/>
        <v>14</v>
      </c>
      <c r="B15" s="8" t="s">
        <v>27</v>
      </c>
      <c r="C15" s="7" t="s">
        <v>28</v>
      </c>
      <c r="D15" s="16">
        <v>4.0199999999999996</v>
      </c>
      <c r="E15" s="27">
        <v>1502818</v>
      </c>
      <c r="F15" s="17">
        <v>17</v>
      </c>
      <c r="G15" s="27" t="s">
        <v>115</v>
      </c>
    </row>
    <row r="16" spans="1:7" ht="18" customHeight="1" x14ac:dyDescent="0.25">
      <c r="A16" s="12">
        <f t="shared" si="0"/>
        <v>15</v>
      </c>
      <c r="B16" s="6" t="s">
        <v>29</v>
      </c>
      <c r="C16" s="5" t="s">
        <v>30</v>
      </c>
      <c r="D16" s="13">
        <v>4.13</v>
      </c>
      <c r="E16" s="26">
        <v>1075112</v>
      </c>
      <c r="F16" s="14">
        <v>2</v>
      </c>
      <c r="G16" s="26" t="s">
        <v>118</v>
      </c>
    </row>
    <row r="17" spans="1:7" ht="18" customHeight="1" x14ac:dyDescent="0.25">
      <c r="A17" s="15">
        <f t="shared" si="0"/>
        <v>16</v>
      </c>
      <c r="B17" s="8" t="s">
        <v>31</v>
      </c>
      <c r="C17" s="7" t="s">
        <v>32</v>
      </c>
      <c r="D17" s="16">
        <v>3.91</v>
      </c>
      <c r="E17" s="27">
        <v>5012857</v>
      </c>
      <c r="F17" s="17">
        <v>8</v>
      </c>
      <c r="G17" s="27" t="s">
        <v>111</v>
      </c>
    </row>
    <row r="18" spans="1:7" ht="18" customHeight="1" x14ac:dyDescent="0.25">
      <c r="A18" s="12">
        <f t="shared" si="0"/>
        <v>17</v>
      </c>
      <c r="B18" s="6" t="s">
        <v>33</v>
      </c>
      <c r="C18" s="5" t="s">
        <v>34</v>
      </c>
      <c r="D18" s="13">
        <v>4.1900000000000004</v>
      </c>
      <c r="E18" s="26">
        <v>1558259</v>
      </c>
      <c r="F18" s="14">
        <v>10</v>
      </c>
      <c r="G18" s="26" t="s">
        <v>117</v>
      </c>
    </row>
    <row r="19" spans="1:7" ht="18" customHeight="1" x14ac:dyDescent="0.25">
      <c r="A19" s="15">
        <f t="shared" si="0"/>
        <v>18</v>
      </c>
      <c r="B19" s="8" t="s">
        <v>35</v>
      </c>
      <c r="C19" s="7" t="s">
        <v>36</v>
      </c>
      <c r="D19" s="16">
        <v>4.09</v>
      </c>
      <c r="E19" s="27">
        <v>521713</v>
      </c>
      <c r="F19" s="17">
        <v>5</v>
      </c>
      <c r="G19" s="27" t="s">
        <v>118</v>
      </c>
    </row>
    <row r="20" spans="1:7" ht="18" customHeight="1" x14ac:dyDescent="0.25">
      <c r="A20" s="12">
        <f t="shared" si="0"/>
        <v>19</v>
      </c>
      <c r="B20" s="6" t="s">
        <v>42</v>
      </c>
      <c r="C20" s="5" t="s">
        <v>37</v>
      </c>
      <c r="D20" s="13">
        <v>4.34</v>
      </c>
      <c r="E20" s="26">
        <v>166585</v>
      </c>
      <c r="F20" s="14">
        <v>2</v>
      </c>
      <c r="G20" s="26" t="s">
        <v>108</v>
      </c>
    </row>
    <row r="21" spans="1:7" ht="18" customHeight="1" x14ac:dyDescent="0.25">
      <c r="A21" s="18">
        <f t="shared" si="0"/>
        <v>20</v>
      </c>
      <c r="B21" s="19" t="s">
        <v>43</v>
      </c>
      <c r="C21" s="20" t="s">
        <v>38</v>
      </c>
      <c r="D21" s="21">
        <v>4.1399999999999997</v>
      </c>
      <c r="E21" s="28">
        <v>2076814</v>
      </c>
      <c r="F21" s="22">
        <v>15</v>
      </c>
      <c r="G21" s="28" t="s">
        <v>109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668C2-BCC6-4603-B30E-59D7B0F70A35}">
  <dimension ref="A1:B6"/>
  <sheetViews>
    <sheetView zoomScaleNormal="100" workbookViewId="0">
      <selection activeCell="H35" sqref="H35"/>
    </sheetView>
  </sheetViews>
  <sheetFormatPr defaultColWidth="8.85546875" defaultRowHeight="15" x14ac:dyDescent="0.25"/>
  <cols>
    <col min="1" max="1" width="9" bestFit="1" customWidth="1"/>
    <col min="2" max="2" width="16.42578125" bestFit="1" customWidth="1"/>
  </cols>
  <sheetData>
    <row r="1" spans="1:2" x14ac:dyDescent="0.25">
      <c r="A1" t="s">
        <v>45</v>
      </c>
      <c r="B1" t="s">
        <v>46</v>
      </c>
    </row>
    <row r="2" spans="1:2" x14ac:dyDescent="0.25">
      <c r="A2" t="s">
        <v>51</v>
      </c>
      <c r="B2" s="1">
        <v>7147</v>
      </c>
    </row>
    <row r="3" spans="1:2" x14ac:dyDescent="0.25">
      <c r="A3" t="s">
        <v>50</v>
      </c>
      <c r="B3" s="1">
        <v>13555</v>
      </c>
    </row>
    <row r="4" spans="1:2" x14ac:dyDescent="0.25">
      <c r="A4" t="s">
        <v>49</v>
      </c>
      <c r="B4" s="1">
        <v>53778</v>
      </c>
    </row>
    <row r="5" spans="1:2" x14ac:dyDescent="0.25">
      <c r="A5" t="s">
        <v>48</v>
      </c>
      <c r="B5" s="1">
        <v>160455</v>
      </c>
    </row>
    <row r="6" spans="1:2" x14ac:dyDescent="0.25">
      <c r="A6" t="s">
        <v>47</v>
      </c>
      <c r="B6" s="1">
        <v>503742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E470-D8AB-442A-8B3E-49236D7E8689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7.28515625" bestFit="1" customWidth="1"/>
  </cols>
  <sheetData>
    <row r="1" spans="1:2" x14ac:dyDescent="0.25">
      <c r="A1" t="s">
        <v>45</v>
      </c>
      <c r="B1" t="s">
        <v>76</v>
      </c>
    </row>
    <row r="2" spans="1:2" x14ac:dyDescent="0.25">
      <c r="A2" t="s">
        <v>51</v>
      </c>
      <c r="B2">
        <v>193502</v>
      </c>
    </row>
    <row r="3" spans="1:2" x14ac:dyDescent="0.25">
      <c r="A3" t="s">
        <v>50</v>
      </c>
      <c r="B3">
        <v>220459</v>
      </c>
    </row>
    <row r="4" spans="1:2" x14ac:dyDescent="0.25">
      <c r="A4" t="s">
        <v>49</v>
      </c>
      <c r="B4">
        <v>988556</v>
      </c>
    </row>
    <row r="5" spans="1:2" x14ac:dyDescent="0.25">
      <c r="A5" t="s">
        <v>48</v>
      </c>
      <c r="B5">
        <v>2735320</v>
      </c>
    </row>
    <row r="6" spans="1:2" x14ac:dyDescent="0.25">
      <c r="A6" t="s">
        <v>47</v>
      </c>
      <c r="B6">
        <v>7440244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DE45-5908-48FF-BF14-D07C5F75CFE4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bestFit="1" customWidth="1"/>
  </cols>
  <sheetData>
    <row r="1" spans="1:2" x14ac:dyDescent="0.25">
      <c r="A1" t="s">
        <v>45</v>
      </c>
      <c r="B1" t="s">
        <v>4</v>
      </c>
    </row>
    <row r="2" spans="1:2" x14ac:dyDescent="0.25">
      <c r="A2" t="s">
        <v>51</v>
      </c>
      <c r="B2">
        <v>27777</v>
      </c>
    </row>
    <row r="3" spans="1:2" x14ac:dyDescent="0.25">
      <c r="A3" t="s">
        <v>50</v>
      </c>
      <c r="B3">
        <v>44105</v>
      </c>
    </row>
    <row r="4" spans="1:2" x14ac:dyDescent="0.25">
      <c r="A4" t="s">
        <v>49</v>
      </c>
      <c r="B4">
        <v>151665</v>
      </c>
    </row>
    <row r="5" spans="1:2" x14ac:dyDescent="0.25">
      <c r="A5" t="s">
        <v>48</v>
      </c>
      <c r="B5">
        <v>319713</v>
      </c>
    </row>
    <row r="6" spans="1:2" x14ac:dyDescent="0.25">
      <c r="A6" t="s">
        <v>47</v>
      </c>
      <c r="B6">
        <v>719870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6D87-6322-4D85-8D1F-2B61F7F4BD9D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51</v>
      </c>
      <c r="B2" s="1">
        <v>132601</v>
      </c>
    </row>
    <row r="3" spans="1:2" x14ac:dyDescent="0.25">
      <c r="A3" t="s">
        <v>50</v>
      </c>
      <c r="B3" s="1">
        <v>240340</v>
      </c>
    </row>
    <row r="4" spans="1:2" x14ac:dyDescent="0.25">
      <c r="A4" t="s">
        <v>49</v>
      </c>
      <c r="B4" s="1">
        <v>1104482</v>
      </c>
    </row>
    <row r="5" spans="1:2" x14ac:dyDescent="0.25">
      <c r="A5" t="s">
        <v>48</v>
      </c>
      <c r="B5" s="1">
        <v>3054271</v>
      </c>
    </row>
    <row r="6" spans="1:2" x14ac:dyDescent="0.25">
      <c r="A6" t="s">
        <v>47</v>
      </c>
      <c r="B6" s="1">
        <v>5534811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3CC67-E6A8-4058-B3DE-0A27DDD651EF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271164</v>
      </c>
    </row>
    <row r="3" spans="1:2" x14ac:dyDescent="0.25">
      <c r="A3" t="s">
        <v>48</v>
      </c>
      <c r="B3" s="1">
        <v>137019</v>
      </c>
    </row>
    <row r="4" spans="1:2" x14ac:dyDescent="0.25">
      <c r="A4" t="s">
        <v>49</v>
      </c>
      <c r="B4" s="1">
        <v>46266</v>
      </c>
    </row>
    <row r="5" spans="1:2" x14ac:dyDescent="0.25">
      <c r="A5" t="s">
        <v>50</v>
      </c>
      <c r="B5" s="1">
        <v>10170</v>
      </c>
    </row>
    <row r="6" spans="1:2" x14ac:dyDescent="0.25">
      <c r="A6" t="s">
        <v>51</v>
      </c>
      <c r="B6" s="1">
        <v>5601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A766-06A4-4AB6-8D92-04C5C562DF64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bestFit="1" customWidth="1"/>
  </cols>
  <sheetData>
    <row r="1" spans="1:2" x14ac:dyDescent="0.25">
      <c r="A1" t="s">
        <v>45</v>
      </c>
      <c r="B1" t="s">
        <v>4</v>
      </c>
    </row>
    <row r="2" spans="1:2" x14ac:dyDescent="0.25">
      <c r="A2" t="s">
        <v>47</v>
      </c>
      <c r="B2" s="1">
        <v>3597983</v>
      </c>
    </row>
    <row r="3" spans="1:2" x14ac:dyDescent="0.25">
      <c r="A3" t="s">
        <v>48</v>
      </c>
      <c r="B3" s="1">
        <v>2092922</v>
      </c>
    </row>
    <row r="4" spans="1:2" x14ac:dyDescent="0.25">
      <c r="A4" t="s">
        <v>49</v>
      </c>
      <c r="B4" s="1">
        <v>925028</v>
      </c>
    </row>
    <row r="5" spans="1:2" x14ac:dyDescent="0.25">
      <c r="A5" t="s">
        <v>50</v>
      </c>
      <c r="B5" s="1">
        <v>241851</v>
      </c>
    </row>
    <row r="6" spans="1:2" x14ac:dyDescent="0.25">
      <c r="A6" t="s">
        <v>51</v>
      </c>
      <c r="B6" s="1">
        <v>126635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52DA-51A6-4C55-BF22-24439F3364FB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2700215</v>
      </c>
    </row>
    <row r="3" spans="1:2" x14ac:dyDescent="0.25">
      <c r="A3" t="s">
        <v>48</v>
      </c>
      <c r="B3" s="1">
        <v>1331924</v>
      </c>
    </row>
    <row r="4" spans="1:2" x14ac:dyDescent="0.25">
      <c r="A4" t="s">
        <v>49</v>
      </c>
      <c r="B4" s="1">
        <v>580632</v>
      </c>
    </row>
    <row r="5" spans="1:2" x14ac:dyDescent="0.25">
      <c r="A5" t="s">
        <v>50</v>
      </c>
      <c r="B5" s="1">
        <v>169365</v>
      </c>
    </row>
    <row r="6" spans="1:2" x14ac:dyDescent="0.25">
      <c r="A6" t="s">
        <v>51</v>
      </c>
      <c r="B6" s="1">
        <v>111189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8A9F-3CE3-4FAB-801C-603579EE6BEE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295546</v>
      </c>
    </row>
    <row r="3" spans="1:2" x14ac:dyDescent="0.25">
      <c r="A3" t="s">
        <v>48</v>
      </c>
      <c r="B3" s="1">
        <v>196000</v>
      </c>
    </row>
    <row r="4" spans="1:2" x14ac:dyDescent="0.25">
      <c r="A4" t="s">
        <v>49</v>
      </c>
      <c r="B4" s="1">
        <v>74186</v>
      </c>
    </row>
    <row r="5" spans="1:2" x14ac:dyDescent="0.25">
      <c r="A5" t="s">
        <v>50</v>
      </c>
      <c r="B5" s="1">
        <v>16097</v>
      </c>
    </row>
    <row r="6" spans="1:2" x14ac:dyDescent="0.25">
      <c r="A6" t="s">
        <v>51</v>
      </c>
      <c r="B6" s="1">
        <v>11741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6B36-DF22-4237-8DED-67E1E34634B1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886794</v>
      </c>
    </row>
    <row r="3" spans="1:2" x14ac:dyDescent="0.25">
      <c r="A3" t="s">
        <v>48</v>
      </c>
      <c r="B3" s="1">
        <v>557008</v>
      </c>
    </row>
    <row r="4" spans="1:2" x14ac:dyDescent="0.25">
      <c r="A4" t="s">
        <v>49</v>
      </c>
      <c r="B4" s="1">
        <v>213163</v>
      </c>
    </row>
    <row r="5" spans="1:2" x14ac:dyDescent="0.25">
      <c r="A5" t="s">
        <v>50</v>
      </c>
      <c r="B5" s="1">
        <v>47603</v>
      </c>
    </row>
    <row r="6" spans="1:2" x14ac:dyDescent="0.25">
      <c r="A6" t="s">
        <v>51</v>
      </c>
      <c r="B6" s="1">
        <v>28869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74F7-E00B-40D1-BBE7-EC8EA996ED34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1632451</v>
      </c>
    </row>
    <row r="3" spans="1:2" x14ac:dyDescent="0.25">
      <c r="A3" t="s">
        <v>48</v>
      </c>
      <c r="B3" s="1">
        <v>1152649</v>
      </c>
    </row>
    <row r="4" spans="1:2" x14ac:dyDescent="0.25">
      <c r="A4" t="s">
        <v>49</v>
      </c>
      <c r="B4" s="1">
        <v>469607</v>
      </c>
    </row>
    <row r="5" spans="1:2" x14ac:dyDescent="0.25">
      <c r="A5" t="s">
        <v>50</v>
      </c>
      <c r="B5" s="1">
        <v>134311</v>
      </c>
    </row>
    <row r="6" spans="1:2" x14ac:dyDescent="0.25">
      <c r="A6" t="s">
        <v>51</v>
      </c>
      <c r="B6" s="1">
        <v>93029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21D8-77AA-4E5A-BF19-26380E1FD1EA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1703351</v>
      </c>
    </row>
    <row r="3" spans="1:2" x14ac:dyDescent="0.25">
      <c r="A3" t="s">
        <v>48</v>
      </c>
      <c r="B3" s="1">
        <v>747409</v>
      </c>
    </row>
    <row r="4" spans="1:2" x14ac:dyDescent="0.25">
      <c r="A4" t="s">
        <v>49</v>
      </c>
      <c r="B4" s="1">
        <v>216194</v>
      </c>
    </row>
    <row r="5" spans="1:2" x14ac:dyDescent="0.25">
      <c r="A5" t="s">
        <v>50</v>
      </c>
      <c r="B5" s="1">
        <v>57020</v>
      </c>
    </row>
    <row r="6" spans="1:2" x14ac:dyDescent="0.25">
      <c r="A6" t="s">
        <v>51</v>
      </c>
      <c r="B6" s="1">
        <v>44703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CAD3C-74FC-44B2-B416-5CC83CF225B1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2112564</v>
      </c>
    </row>
    <row r="3" spans="1:2" x14ac:dyDescent="0.25">
      <c r="A3" t="s">
        <v>48</v>
      </c>
      <c r="B3" s="1">
        <v>2049922</v>
      </c>
    </row>
    <row r="4" spans="1:2" x14ac:dyDescent="0.25">
      <c r="A4" t="s">
        <v>49</v>
      </c>
      <c r="B4" s="1">
        <v>1301238</v>
      </c>
    </row>
    <row r="5" spans="1:2" x14ac:dyDescent="0.25">
      <c r="A5" t="s">
        <v>50</v>
      </c>
      <c r="B5" s="1">
        <v>383743</v>
      </c>
    </row>
    <row r="6" spans="1:2" x14ac:dyDescent="0.25">
      <c r="A6" t="s">
        <v>51</v>
      </c>
      <c r="B6" s="1">
        <v>163293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21AE-8A2D-4E2E-99B6-9068E633742B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348155</v>
      </c>
    </row>
    <row r="3" spans="1:2" x14ac:dyDescent="0.25">
      <c r="A3" t="s">
        <v>48</v>
      </c>
      <c r="B3" s="1">
        <v>288979</v>
      </c>
    </row>
    <row r="4" spans="1:2" x14ac:dyDescent="0.25">
      <c r="A4" t="s">
        <v>49</v>
      </c>
      <c r="B4" s="1">
        <v>116427</v>
      </c>
    </row>
    <row r="5" spans="1:2" x14ac:dyDescent="0.25">
      <c r="A5" t="s">
        <v>50</v>
      </c>
      <c r="B5" s="1">
        <v>24635</v>
      </c>
    </row>
    <row r="6" spans="1:2" x14ac:dyDescent="0.25">
      <c r="A6" t="s">
        <v>51</v>
      </c>
      <c r="B6" s="1">
        <v>8754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FBCC-FA36-41A7-82C0-EA5BA21403F6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460528</v>
      </c>
    </row>
    <row r="3" spans="1:2" x14ac:dyDescent="0.25">
      <c r="A3" t="s">
        <v>48</v>
      </c>
      <c r="B3" s="1">
        <v>376689</v>
      </c>
    </row>
    <row r="4" spans="1:2" x14ac:dyDescent="0.25">
      <c r="A4" t="s">
        <v>49</v>
      </c>
      <c r="B4" s="1">
        <v>180717</v>
      </c>
    </row>
    <row r="5" spans="1:2" x14ac:dyDescent="0.25">
      <c r="A5" t="s">
        <v>50</v>
      </c>
      <c r="B5" s="1">
        <v>40319</v>
      </c>
    </row>
    <row r="6" spans="1:2" x14ac:dyDescent="0.25">
      <c r="A6" t="s">
        <v>51</v>
      </c>
      <c r="B6" s="1">
        <v>17971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E9A6-57C1-4F40-B36A-A98521BCD157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285564</v>
      </c>
    </row>
    <row r="3" spans="1:2" x14ac:dyDescent="0.25">
      <c r="A3" t="s">
        <v>48</v>
      </c>
      <c r="B3" s="1">
        <v>236682</v>
      </c>
    </row>
    <row r="4" spans="1:2" x14ac:dyDescent="0.25">
      <c r="A4" t="s">
        <v>49</v>
      </c>
      <c r="B4" s="1">
        <v>99656</v>
      </c>
    </row>
    <row r="5" spans="1:2" x14ac:dyDescent="0.25">
      <c r="A5" t="s">
        <v>50</v>
      </c>
      <c r="B5" s="1">
        <v>22196</v>
      </c>
    </row>
    <row r="6" spans="1:2" x14ac:dyDescent="0.25">
      <c r="A6" t="s">
        <v>51</v>
      </c>
      <c r="B6" s="1">
        <v>7984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4FCA-0CC1-4209-A508-13E51281C364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1087503</v>
      </c>
    </row>
    <row r="3" spans="1:2" x14ac:dyDescent="0.25">
      <c r="A3" t="s">
        <v>48</v>
      </c>
      <c r="B3" s="1">
        <v>879291</v>
      </c>
    </row>
    <row r="4" spans="1:2" x14ac:dyDescent="0.25">
      <c r="A4" t="s">
        <v>49</v>
      </c>
      <c r="B4" s="1">
        <v>371115</v>
      </c>
    </row>
    <row r="5" spans="1:2" x14ac:dyDescent="0.25">
      <c r="A5" t="s">
        <v>50</v>
      </c>
      <c r="B5" s="1">
        <v>98132</v>
      </c>
    </row>
    <row r="6" spans="1:2" x14ac:dyDescent="0.25">
      <c r="A6" t="s">
        <v>51</v>
      </c>
      <c r="B6" s="1">
        <v>45854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0C93-67E8-4F25-9BA5-FF0B88B8AD75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bestFit="1" customWidth="1"/>
  </cols>
  <sheetData>
    <row r="1" spans="1:2" x14ac:dyDescent="0.25">
      <c r="A1" t="s">
        <v>45</v>
      </c>
      <c r="B1" t="s">
        <v>4</v>
      </c>
    </row>
    <row r="2" spans="1:2" x14ac:dyDescent="0.25">
      <c r="A2" t="s">
        <v>47</v>
      </c>
      <c r="B2" s="1">
        <v>566663</v>
      </c>
    </row>
    <row r="3" spans="1:2" x14ac:dyDescent="0.25">
      <c r="A3" t="s">
        <v>48</v>
      </c>
      <c r="B3" s="1">
        <v>533792</v>
      </c>
    </row>
    <row r="4" spans="1:2" x14ac:dyDescent="0.25">
      <c r="A4" t="s">
        <v>49</v>
      </c>
      <c r="B4" s="1">
        <v>305058</v>
      </c>
    </row>
    <row r="5" spans="1:2" x14ac:dyDescent="0.25">
      <c r="A5" t="s">
        <v>50</v>
      </c>
      <c r="B5" s="1">
        <v>72961</v>
      </c>
    </row>
    <row r="6" spans="1:2" x14ac:dyDescent="0.25">
      <c r="A6" t="s">
        <v>51</v>
      </c>
      <c r="B6" s="1">
        <v>26077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D5F7-C7F3-465F-B722-9EB765A67D46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190382</v>
      </c>
    </row>
    <row r="3" spans="1:2" x14ac:dyDescent="0.25">
      <c r="A3" t="s">
        <v>48</v>
      </c>
      <c r="B3" s="1">
        <v>214531</v>
      </c>
    </row>
    <row r="4" spans="1:2" x14ac:dyDescent="0.25">
      <c r="A4" t="s">
        <v>49</v>
      </c>
      <c r="B4" s="1">
        <v>94920</v>
      </c>
    </row>
    <row r="5" spans="1:2" x14ac:dyDescent="0.25">
      <c r="A5" t="s">
        <v>50</v>
      </c>
      <c r="B5" s="1">
        <v>17843</v>
      </c>
    </row>
    <row r="6" spans="1:2" x14ac:dyDescent="0.25">
      <c r="A6" t="s">
        <v>51</v>
      </c>
      <c r="B6" s="1">
        <v>4387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97537-1C8A-4ABB-BDC7-CD43D90A62C2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927932</v>
      </c>
    </row>
    <row r="3" spans="1:2" x14ac:dyDescent="0.25">
      <c r="A3" t="s">
        <v>48</v>
      </c>
      <c r="B3" s="1">
        <v>506232</v>
      </c>
    </row>
    <row r="4" spans="1:2" x14ac:dyDescent="0.25">
      <c r="A4" t="s">
        <v>49</v>
      </c>
      <c r="B4" s="1">
        <v>275426</v>
      </c>
    </row>
    <row r="5" spans="1:2" x14ac:dyDescent="0.25">
      <c r="A5" t="s">
        <v>50</v>
      </c>
      <c r="B5" s="1">
        <v>90333</v>
      </c>
    </row>
    <row r="6" spans="1:2" x14ac:dyDescent="0.25">
      <c r="A6" t="s">
        <v>51</v>
      </c>
      <c r="B6" s="1">
        <v>55090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112DF-653F-48A8-AA1F-DB4DF3F91DD2}">
  <dimension ref="A1:H21"/>
  <sheetViews>
    <sheetView workbookViewId="0">
      <pane ySplit="1" topLeftCell="A2" activePane="bottomLeft" state="frozen"/>
      <selection pane="bottomLeft" activeCell="C23" sqref="C23"/>
    </sheetView>
  </sheetViews>
  <sheetFormatPr defaultRowHeight="15" x14ac:dyDescent="0.25"/>
  <cols>
    <col min="1" max="1" width="5" customWidth="1"/>
    <col min="2" max="2" width="38" customWidth="1"/>
    <col min="3" max="3" width="42" customWidth="1"/>
    <col min="4" max="4" width="24.5703125" bestFit="1" customWidth="1"/>
    <col min="5" max="5" width="8" customWidth="1"/>
    <col min="6" max="6" width="13" customWidth="1"/>
    <col min="7" max="7" width="18" customWidth="1"/>
    <col min="8" max="8" width="22" customWidth="1"/>
  </cols>
  <sheetData>
    <row r="1" spans="1:8" ht="39.950000000000003" customHeight="1" x14ac:dyDescent="0.25">
      <c r="A1" s="4" t="s">
        <v>64</v>
      </c>
      <c r="B1" s="4" t="s">
        <v>1</v>
      </c>
      <c r="C1" s="4" t="s">
        <v>75</v>
      </c>
      <c r="D1" s="4" t="s">
        <v>77</v>
      </c>
      <c r="E1" s="4" t="s">
        <v>74</v>
      </c>
      <c r="F1" s="4" t="s">
        <v>73</v>
      </c>
      <c r="G1" s="4" t="s">
        <v>72</v>
      </c>
      <c r="H1" s="4" t="s">
        <v>71</v>
      </c>
    </row>
    <row r="2" spans="1:8" ht="20.100000000000001" customHeight="1" x14ac:dyDescent="0.25">
      <c r="A2" s="3">
        <v>1</v>
      </c>
      <c r="B2" s="24" t="s">
        <v>62</v>
      </c>
      <c r="C2" s="24" t="s">
        <v>70</v>
      </c>
      <c r="D2" s="24" t="s">
        <v>78</v>
      </c>
      <c r="E2" s="3">
        <v>2001</v>
      </c>
      <c r="F2" s="3">
        <v>8.9</v>
      </c>
      <c r="G2" s="3">
        <v>2.1</v>
      </c>
      <c r="H2" s="3">
        <v>897</v>
      </c>
    </row>
    <row r="3" spans="1:8" ht="20.100000000000001" customHeight="1" x14ac:dyDescent="0.25">
      <c r="A3" s="2">
        <v>2</v>
      </c>
      <c r="B3" s="23" t="s">
        <v>61</v>
      </c>
      <c r="C3" s="23" t="s">
        <v>61</v>
      </c>
      <c r="D3" s="23" t="s">
        <v>79</v>
      </c>
      <c r="E3" s="2">
        <v>2001</v>
      </c>
      <c r="F3" s="2">
        <v>7.7</v>
      </c>
      <c r="G3" s="2">
        <v>1</v>
      </c>
      <c r="H3" s="2">
        <v>974</v>
      </c>
    </row>
    <row r="4" spans="1:8" ht="20.100000000000001" customHeight="1" x14ac:dyDescent="0.25">
      <c r="A4" s="3">
        <v>3</v>
      </c>
      <c r="B4" s="24" t="s">
        <v>9</v>
      </c>
      <c r="C4" s="24" t="s">
        <v>9</v>
      </c>
      <c r="D4" s="24" t="s">
        <v>80</v>
      </c>
      <c r="E4" s="3">
        <v>1939</v>
      </c>
      <c r="F4" s="3">
        <v>8.1999999999999993</v>
      </c>
      <c r="G4" s="3">
        <v>0.34</v>
      </c>
      <c r="H4" s="3">
        <v>402</v>
      </c>
    </row>
    <row r="5" spans="1:8" ht="20.100000000000001" customHeight="1" x14ac:dyDescent="0.25">
      <c r="A5" s="2">
        <v>4</v>
      </c>
      <c r="B5" s="23" t="s">
        <v>60</v>
      </c>
      <c r="C5" s="23" t="s">
        <v>60</v>
      </c>
      <c r="D5" s="23" t="s">
        <v>81</v>
      </c>
      <c r="E5" s="2">
        <v>2012</v>
      </c>
      <c r="F5" s="2">
        <v>7.2</v>
      </c>
      <c r="G5" s="2">
        <v>1</v>
      </c>
      <c r="H5" s="2">
        <v>694</v>
      </c>
    </row>
    <row r="6" spans="1:8" ht="20.100000000000001" customHeight="1" x14ac:dyDescent="0.25">
      <c r="A6" s="3">
        <v>5</v>
      </c>
      <c r="B6" s="24" t="s">
        <v>59</v>
      </c>
      <c r="C6" s="24" t="s">
        <v>59</v>
      </c>
      <c r="D6" s="24" t="s">
        <v>82</v>
      </c>
      <c r="E6" s="3">
        <v>1972</v>
      </c>
      <c r="F6" s="3">
        <v>9.1999999999999993</v>
      </c>
      <c r="G6" s="3">
        <v>2.1</v>
      </c>
      <c r="H6" s="3">
        <v>250</v>
      </c>
    </row>
    <row r="7" spans="1:8" ht="20.100000000000001" customHeight="1" x14ac:dyDescent="0.25">
      <c r="A7" s="2">
        <v>6</v>
      </c>
      <c r="B7" s="23" t="s">
        <v>15</v>
      </c>
      <c r="C7" s="23" t="s">
        <v>15</v>
      </c>
      <c r="D7" s="23" t="s">
        <v>83</v>
      </c>
      <c r="E7" s="2">
        <v>1962</v>
      </c>
      <c r="F7" s="2">
        <v>8.3000000000000007</v>
      </c>
      <c r="G7" s="2">
        <v>0.32</v>
      </c>
      <c r="H7" s="2">
        <v>13</v>
      </c>
    </row>
    <row r="8" spans="1:8" ht="20.100000000000001" customHeight="1" x14ac:dyDescent="0.25">
      <c r="A8" s="3">
        <v>7</v>
      </c>
      <c r="B8" s="24" t="s">
        <v>17</v>
      </c>
      <c r="C8" s="24" t="s">
        <v>69</v>
      </c>
      <c r="D8" s="24" t="s">
        <v>84</v>
      </c>
      <c r="E8" s="3">
        <v>2005</v>
      </c>
      <c r="F8" s="3">
        <v>7.8</v>
      </c>
      <c r="G8" s="3">
        <v>0.3</v>
      </c>
      <c r="H8" s="3">
        <v>121</v>
      </c>
    </row>
    <row r="9" spans="1:8" ht="20.100000000000001" customHeight="1" x14ac:dyDescent="0.25">
      <c r="A9" s="2">
        <v>8</v>
      </c>
      <c r="B9" s="23" t="s">
        <v>58</v>
      </c>
      <c r="C9" s="23" t="s">
        <v>58</v>
      </c>
      <c r="D9" s="23" t="s">
        <v>85</v>
      </c>
      <c r="E9" s="2">
        <v>1991</v>
      </c>
      <c r="F9" s="2">
        <v>8.6</v>
      </c>
      <c r="G9" s="2">
        <v>1.6</v>
      </c>
      <c r="H9" s="2">
        <v>273</v>
      </c>
    </row>
    <row r="10" spans="1:8" ht="20.100000000000001" customHeight="1" x14ac:dyDescent="0.25">
      <c r="A10" s="3">
        <v>9</v>
      </c>
      <c r="B10" s="24" t="s">
        <v>57</v>
      </c>
      <c r="C10" s="24" t="s">
        <v>57</v>
      </c>
      <c r="D10" s="24" t="s">
        <v>86</v>
      </c>
      <c r="E10" s="3">
        <v>1980</v>
      </c>
      <c r="F10" s="3">
        <v>8.4</v>
      </c>
      <c r="G10" s="3">
        <v>1.2</v>
      </c>
      <c r="H10" s="3">
        <v>47</v>
      </c>
    </row>
    <row r="11" spans="1:8" ht="20.100000000000001" customHeight="1" x14ac:dyDescent="0.25">
      <c r="A11" s="2">
        <v>10</v>
      </c>
      <c r="B11" s="23" t="s">
        <v>56</v>
      </c>
      <c r="C11" s="23" t="s">
        <v>56</v>
      </c>
      <c r="D11" s="23" t="s">
        <v>87</v>
      </c>
      <c r="E11" s="2">
        <v>2011</v>
      </c>
      <c r="F11" s="2">
        <v>7.8</v>
      </c>
      <c r="G11" s="2">
        <v>0.5</v>
      </c>
      <c r="H11" s="2">
        <v>233</v>
      </c>
    </row>
    <row r="12" spans="1:8" ht="20.100000000000001" customHeight="1" x14ac:dyDescent="0.25">
      <c r="A12" s="3">
        <v>11</v>
      </c>
      <c r="B12" s="24" t="s">
        <v>55</v>
      </c>
      <c r="C12" s="24" t="s">
        <v>68</v>
      </c>
      <c r="D12" s="24" t="s">
        <v>88</v>
      </c>
      <c r="E12" s="3">
        <v>2011</v>
      </c>
      <c r="F12" s="3">
        <v>9.1999999999999993</v>
      </c>
      <c r="G12" s="3">
        <v>2.4</v>
      </c>
      <c r="H12" s="3" t="s">
        <v>67</v>
      </c>
    </row>
    <row r="13" spans="1:8" ht="20.100000000000001" customHeight="1" x14ac:dyDescent="0.25">
      <c r="A13" s="2">
        <v>12</v>
      </c>
      <c r="B13" s="23" t="s">
        <v>31</v>
      </c>
      <c r="C13" s="23" t="s">
        <v>31</v>
      </c>
      <c r="D13" s="23" t="s">
        <v>89</v>
      </c>
      <c r="E13" s="2">
        <v>2013</v>
      </c>
      <c r="F13" s="2">
        <v>7.2</v>
      </c>
      <c r="G13" s="2">
        <v>0.65</v>
      </c>
      <c r="H13" s="2">
        <v>353</v>
      </c>
    </row>
    <row r="14" spans="1:8" ht="20.100000000000001" customHeight="1" x14ac:dyDescent="0.25">
      <c r="A14" s="3">
        <v>13</v>
      </c>
      <c r="B14" s="24" t="s">
        <v>41</v>
      </c>
      <c r="C14" s="24" t="s">
        <v>41</v>
      </c>
      <c r="D14" s="24" t="s">
        <v>90</v>
      </c>
      <c r="E14" s="3">
        <v>1975</v>
      </c>
      <c r="F14" s="3">
        <v>8.6999999999999993</v>
      </c>
      <c r="G14" s="3">
        <v>1.1000000000000001</v>
      </c>
      <c r="H14" s="3">
        <v>109</v>
      </c>
    </row>
    <row r="15" spans="1:8" ht="20.100000000000001" customHeight="1" x14ac:dyDescent="0.25">
      <c r="A15" s="2">
        <v>14</v>
      </c>
      <c r="B15" s="23" t="s">
        <v>54</v>
      </c>
      <c r="C15" s="23" t="s">
        <v>54</v>
      </c>
      <c r="D15" s="23" t="s">
        <v>91</v>
      </c>
      <c r="E15" s="2">
        <v>1993</v>
      </c>
      <c r="F15" s="2">
        <v>8.1999999999999993</v>
      </c>
      <c r="G15" s="2">
        <v>1.1000000000000001</v>
      </c>
      <c r="H15" s="2">
        <v>1046</v>
      </c>
    </row>
    <row r="16" spans="1:8" ht="20.100000000000001" customHeight="1" x14ac:dyDescent="0.25">
      <c r="A16" s="3">
        <v>15</v>
      </c>
      <c r="B16" s="24" t="s">
        <v>33</v>
      </c>
      <c r="C16" s="24" t="s">
        <v>33</v>
      </c>
      <c r="D16" s="24" t="s">
        <v>87</v>
      </c>
      <c r="E16" s="3">
        <v>1999</v>
      </c>
      <c r="F16" s="3">
        <v>8.8000000000000007</v>
      </c>
      <c r="G16" s="3">
        <v>2.4</v>
      </c>
      <c r="H16" s="3">
        <v>101</v>
      </c>
    </row>
    <row r="17" spans="1:8" ht="20.100000000000001" customHeight="1" x14ac:dyDescent="0.25">
      <c r="A17" s="2">
        <v>16</v>
      </c>
      <c r="B17" s="23" t="s">
        <v>53</v>
      </c>
      <c r="C17" s="23" t="s">
        <v>53</v>
      </c>
      <c r="D17" s="23" t="s">
        <v>92</v>
      </c>
      <c r="E17" s="2">
        <v>2017</v>
      </c>
      <c r="F17" s="2">
        <v>8.4</v>
      </c>
      <c r="G17" s="2">
        <v>0.3</v>
      </c>
      <c r="H17" s="2" t="s">
        <v>67</v>
      </c>
    </row>
    <row r="18" spans="1:8" ht="20.100000000000001" customHeight="1" x14ac:dyDescent="0.25">
      <c r="A18" s="3">
        <v>17</v>
      </c>
      <c r="B18" s="24" t="s">
        <v>27</v>
      </c>
      <c r="C18" s="24" t="s">
        <v>66</v>
      </c>
      <c r="D18" s="24" t="s">
        <v>82</v>
      </c>
      <c r="E18" s="3">
        <v>1992</v>
      </c>
      <c r="F18" s="3">
        <v>7.4</v>
      </c>
      <c r="G18" s="3">
        <v>0.24</v>
      </c>
      <c r="H18" s="3">
        <v>215</v>
      </c>
    </row>
    <row r="19" spans="1:8" ht="20.100000000000001" customHeight="1" x14ac:dyDescent="0.25">
      <c r="A19" s="2">
        <v>18</v>
      </c>
      <c r="B19" s="23" t="s">
        <v>42</v>
      </c>
      <c r="C19" s="23" t="s">
        <v>42</v>
      </c>
      <c r="D19" s="23" t="s">
        <v>91</v>
      </c>
      <c r="E19" s="2">
        <v>1993</v>
      </c>
      <c r="F19" s="2">
        <v>9</v>
      </c>
      <c r="G19" s="2">
        <v>1.5</v>
      </c>
      <c r="H19" s="2">
        <v>322</v>
      </c>
    </row>
    <row r="20" spans="1:8" ht="20.100000000000001" customHeight="1" x14ac:dyDescent="0.25">
      <c r="A20" s="3">
        <v>19</v>
      </c>
      <c r="B20" s="24" t="s">
        <v>35</v>
      </c>
      <c r="C20" s="24" t="s">
        <v>65</v>
      </c>
      <c r="D20" s="24" t="s">
        <v>93</v>
      </c>
      <c r="E20" s="3">
        <v>1982</v>
      </c>
      <c r="F20" s="3">
        <v>8.1</v>
      </c>
      <c r="G20" s="3">
        <v>0.83</v>
      </c>
      <c r="H20" s="3">
        <v>41</v>
      </c>
    </row>
    <row r="21" spans="1:8" ht="20.100000000000001" customHeight="1" x14ac:dyDescent="0.25">
      <c r="A21" s="2">
        <v>20</v>
      </c>
      <c r="B21" s="23" t="s">
        <v>52</v>
      </c>
      <c r="C21" s="23" t="s">
        <v>52</v>
      </c>
      <c r="D21" s="23" t="s">
        <v>94</v>
      </c>
      <c r="E21" s="2">
        <v>2004</v>
      </c>
      <c r="F21" s="2">
        <v>7.8</v>
      </c>
      <c r="G21" s="2">
        <v>0.59</v>
      </c>
      <c r="H21" s="2">
        <v>117</v>
      </c>
    </row>
  </sheetData>
  <pageMargins left="0.75" right="0.75" top="1" bottom="1" header="0.5" footer="0.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F37F-156C-419A-A9DE-A3A535941F13}">
  <dimension ref="A1:B11"/>
  <sheetViews>
    <sheetView topLeftCell="A2" workbookViewId="0">
      <selection activeCell="Q15" sqref="Q15"/>
    </sheetView>
  </sheetViews>
  <sheetFormatPr defaultRowHeight="15" x14ac:dyDescent="0.25"/>
  <cols>
    <col min="2" max="2" width="18" style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51</v>
      </c>
      <c r="B2" s="1">
        <v>32000</v>
      </c>
    </row>
    <row r="3" spans="1:2" x14ac:dyDescent="0.25">
      <c r="A3" t="s">
        <v>95</v>
      </c>
      <c r="B3" s="1">
        <v>8300</v>
      </c>
    </row>
    <row r="4" spans="1:2" x14ac:dyDescent="0.25">
      <c r="A4" t="s">
        <v>49</v>
      </c>
      <c r="B4" s="1">
        <v>10000</v>
      </c>
    </row>
    <row r="5" spans="1:2" x14ac:dyDescent="0.25">
      <c r="A5" t="s">
        <v>48</v>
      </c>
      <c r="B5" s="1">
        <v>14000</v>
      </c>
    </row>
    <row r="6" spans="1:2" x14ac:dyDescent="0.25">
      <c r="A6" t="s">
        <v>47</v>
      </c>
      <c r="B6" s="1">
        <v>28000</v>
      </c>
    </row>
    <row r="7" spans="1:2" x14ac:dyDescent="0.25">
      <c r="A7" t="s">
        <v>96</v>
      </c>
      <c r="B7" s="1">
        <v>59000</v>
      </c>
    </row>
    <row r="8" spans="1:2" x14ac:dyDescent="0.25">
      <c r="A8" t="s">
        <v>97</v>
      </c>
      <c r="B8" s="1">
        <v>170000</v>
      </c>
    </row>
    <row r="9" spans="1:2" x14ac:dyDescent="0.25">
      <c r="A9" t="s">
        <v>98</v>
      </c>
      <c r="B9" s="1">
        <v>411000</v>
      </c>
    </row>
    <row r="10" spans="1:2" x14ac:dyDescent="0.25">
      <c r="A10" t="s">
        <v>99</v>
      </c>
      <c r="B10" s="1">
        <v>612000</v>
      </c>
    </row>
    <row r="11" spans="1:2" x14ac:dyDescent="0.25">
      <c r="A11" t="s">
        <v>100</v>
      </c>
      <c r="B11" s="1">
        <v>860000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6C5F-BBFD-4B2D-B612-7C28470FB3D6}">
  <dimension ref="A1:B11"/>
  <sheetViews>
    <sheetView workbookViewId="0">
      <selection activeCell="K35" sqref="K35"/>
    </sheetView>
  </sheetViews>
  <sheetFormatPr defaultRowHeight="15" x14ac:dyDescent="0.25"/>
  <cols>
    <col min="2" max="2" width="18" customWidth="1"/>
  </cols>
  <sheetData>
    <row r="1" spans="1:2" x14ac:dyDescent="0.25">
      <c r="A1" s="31" t="s">
        <v>45</v>
      </c>
      <c r="B1" s="32" t="s">
        <v>4</v>
      </c>
    </row>
    <row r="2" spans="1:2" x14ac:dyDescent="0.25">
      <c r="A2" s="29" t="s">
        <v>51</v>
      </c>
      <c r="B2">
        <v>9300</v>
      </c>
    </row>
    <row r="3" spans="1:2" x14ac:dyDescent="0.25">
      <c r="A3" s="30" t="s">
        <v>95</v>
      </c>
      <c r="B3">
        <v>3200</v>
      </c>
    </row>
    <row r="4" spans="1:2" x14ac:dyDescent="0.25">
      <c r="A4" s="29" t="s">
        <v>49</v>
      </c>
      <c r="B4">
        <v>5300</v>
      </c>
    </row>
    <row r="5" spans="1:2" x14ac:dyDescent="0.25">
      <c r="A5" s="30" t="s">
        <v>48</v>
      </c>
      <c r="B5">
        <v>10000</v>
      </c>
    </row>
    <row r="6" spans="1:2" x14ac:dyDescent="0.25">
      <c r="A6" s="29" t="s">
        <v>47</v>
      </c>
      <c r="B6">
        <v>29000</v>
      </c>
    </row>
    <row r="7" spans="1:2" x14ac:dyDescent="0.25">
      <c r="A7" s="30" t="s">
        <v>96</v>
      </c>
      <c r="B7">
        <v>87000</v>
      </c>
    </row>
    <row r="8" spans="1:2" x14ac:dyDescent="0.25">
      <c r="A8" s="29" t="s">
        <v>97</v>
      </c>
      <c r="B8">
        <v>241000</v>
      </c>
    </row>
    <row r="9" spans="1:2" x14ac:dyDescent="0.25">
      <c r="A9" s="30" t="s">
        <v>98</v>
      </c>
      <c r="B9">
        <v>270000</v>
      </c>
    </row>
    <row r="10" spans="1:2" x14ac:dyDescent="0.25">
      <c r="A10" s="29" t="s">
        <v>99</v>
      </c>
      <c r="B10">
        <v>121000</v>
      </c>
    </row>
    <row r="11" spans="1:2" x14ac:dyDescent="0.25">
      <c r="A11" s="30" t="s">
        <v>100</v>
      </c>
      <c r="B11">
        <v>175000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0259-B9CC-4681-AC1F-CBFEC2D23816}">
  <dimension ref="A1:B11"/>
  <sheetViews>
    <sheetView workbookViewId="0">
      <selection activeCell="M13" sqref="M13"/>
    </sheetView>
  </sheetViews>
  <sheetFormatPr defaultRowHeight="15" x14ac:dyDescent="0.25"/>
  <cols>
    <col min="2" max="2" width="17" customWidth="1"/>
  </cols>
  <sheetData>
    <row r="1" spans="1:2" x14ac:dyDescent="0.25">
      <c r="A1" t="s">
        <v>45</v>
      </c>
      <c r="B1" t="s">
        <v>101</v>
      </c>
    </row>
    <row r="2" spans="1:2" x14ac:dyDescent="0.25">
      <c r="A2" t="s">
        <v>51</v>
      </c>
      <c r="B2">
        <v>6200</v>
      </c>
    </row>
    <row r="3" spans="1:2" x14ac:dyDescent="0.25">
      <c r="A3" t="s">
        <v>95</v>
      </c>
      <c r="B3">
        <v>2800</v>
      </c>
    </row>
    <row r="4" spans="1:2" x14ac:dyDescent="0.25">
      <c r="A4" t="s">
        <v>49</v>
      </c>
      <c r="B4">
        <v>3800</v>
      </c>
    </row>
    <row r="5" spans="1:2" x14ac:dyDescent="0.25">
      <c r="A5" t="s">
        <v>48</v>
      </c>
      <c r="B5">
        <v>5700</v>
      </c>
    </row>
    <row r="6" spans="1:2" x14ac:dyDescent="0.25">
      <c r="A6" t="s">
        <v>47</v>
      </c>
      <c r="B6">
        <v>11000</v>
      </c>
    </row>
    <row r="7" spans="1:2" x14ac:dyDescent="0.25">
      <c r="A7" t="s">
        <v>96</v>
      </c>
      <c r="B7">
        <v>23000</v>
      </c>
    </row>
    <row r="8" spans="1:2" x14ac:dyDescent="0.25">
      <c r="A8" t="s">
        <v>97</v>
      </c>
      <c r="B8">
        <v>50000</v>
      </c>
    </row>
    <row r="9" spans="1:2" x14ac:dyDescent="0.25">
      <c r="A9" t="s">
        <v>98</v>
      </c>
      <c r="B9">
        <v>86000</v>
      </c>
    </row>
    <row r="10" spans="1:2" x14ac:dyDescent="0.25">
      <c r="A10" t="s">
        <v>99</v>
      </c>
      <c r="B10">
        <v>70000</v>
      </c>
    </row>
    <row r="11" spans="1:2" x14ac:dyDescent="0.25">
      <c r="A11" t="s">
        <v>100</v>
      </c>
      <c r="B11">
        <v>98000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9926A-ABCC-4A6F-B5CC-6580BF1F61E8}">
  <dimension ref="A1:B11"/>
  <sheetViews>
    <sheetView workbookViewId="0">
      <selection activeCell="L20" sqref="L20"/>
    </sheetView>
  </sheetViews>
  <sheetFormatPr defaultRowHeight="15" x14ac:dyDescent="0.25"/>
  <cols>
    <col min="1" max="1" width="11.5703125" bestFit="1" customWidth="1"/>
    <col min="2" max="2" width="14.28515625" bestFit="1" customWidth="1"/>
  </cols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860000</v>
      </c>
    </row>
    <row r="3" spans="1:2" x14ac:dyDescent="0.25">
      <c r="A3" t="s">
        <v>99</v>
      </c>
      <c r="B3" s="33">
        <v>612000</v>
      </c>
    </row>
    <row r="4" spans="1:2" x14ac:dyDescent="0.25">
      <c r="A4" t="s">
        <v>98</v>
      </c>
      <c r="B4" s="33">
        <v>411000</v>
      </c>
    </row>
    <row r="5" spans="1:2" x14ac:dyDescent="0.25">
      <c r="A5" t="s">
        <v>97</v>
      </c>
      <c r="B5" s="33">
        <v>170000</v>
      </c>
    </row>
    <row r="6" spans="1:2" x14ac:dyDescent="0.25">
      <c r="A6" t="s">
        <v>96</v>
      </c>
      <c r="B6" s="33">
        <v>59000</v>
      </c>
    </row>
    <row r="7" spans="1:2" x14ac:dyDescent="0.25">
      <c r="A7" t="s">
        <v>47</v>
      </c>
      <c r="B7" s="33">
        <v>28000</v>
      </c>
    </row>
    <row r="8" spans="1:2" x14ac:dyDescent="0.25">
      <c r="A8" t="s">
        <v>48</v>
      </c>
      <c r="B8" s="33">
        <v>14000</v>
      </c>
    </row>
    <row r="9" spans="1:2" x14ac:dyDescent="0.25">
      <c r="A9" t="s">
        <v>49</v>
      </c>
      <c r="B9" s="33">
        <v>10000</v>
      </c>
    </row>
    <row r="10" spans="1:2" x14ac:dyDescent="0.25">
      <c r="A10" t="s">
        <v>50</v>
      </c>
      <c r="B10" s="33">
        <v>8300</v>
      </c>
    </row>
    <row r="11" spans="1:2" x14ac:dyDescent="0.25">
      <c r="A11" t="s">
        <v>51</v>
      </c>
      <c r="B11" s="33">
        <v>32000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DF2C-6B3F-4C0A-989C-212ECA8324D9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175000</v>
      </c>
    </row>
    <row r="3" spans="1:2" x14ac:dyDescent="0.25">
      <c r="A3" t="s">
        <v>99</v>
      </c>
      <c r="B3" s="33">
        <v>121000</v>
      </c>
    </row>
    <row r="4" spans="1:2" x14ac:dyDescent="0.25">
      <c r="A4" t="s">
        <v>98</v>
      </c>
      <c r="B4" s="33">
        <v>270000</v>
      </c>
    </row>
    <row r="5" spans="1:2" x14ac:dyDescent="0.25">
      <c r="A5" t="s">
        <v>97</v>
      </c>
      <c r="B5" s="33">
        <v>241000</v>
      </c>
    </row>
    <row r="6" spans="1:2" x14ac:dyDescent="0.25">
      <c r="A6" t="s">
        <v>96</v>
      </c>
      <c r="B6" s="33">
        <v>87000</v>
      </c>
    </row>
    <row r="7" spans="1:2" x14ac:dyDescent="0.25">
      <c r="A7" t="s">
        <v>47</v>
      </c>
      <c r="B7" s="33">
        <v>29000</v>
      </c>
    </row>
    <row r="8" spans="1:2" x14ac:dyDescent="0.25">
      <c r="A8" t="s">
        <v>48</v>
      </c>
      <c r="B8" s="33">
        <v>10000</v>
      </c>
    </row>
    <row r="9" spans="1:2" x14ac:dyDescent="0.25">
      <c r="A9" t="s">
        <v>49</v>
      </c>
      <c r="B9" s="33">
        <v>5300</v>
      </c>
    </row>
    <row r="10" spans="1:2" x14ac:dyDescent="0.25">
      <c r="A10" t="s">
        <v>50</v>
      </c>
      <c r="B10" s="33">
        <v>3200</v>
      </c>
    </row>
    <row r="11" spans="1:2" x14ac:dyDescent="0.25">
      <c r="A11" t="s">
        <v>51</v>
      </c>
      <c r="B11" s="33">
        <v>9300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5BF1-6BC8-4446-A225-66C6C525EF36}">
  <dimension ref="A1:B11"/>
  <sheetViews>
    <sheetView workbookViewId="0">
      <selection activeCell="F25" sqref="F25"/>
    </sheetView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98000</v>
      </c>
    </row>
    <row r="3" spans="1:2" x14ac:dyDescent="0.25">
      <c r="A3" t="s">
        <v>99</v>
      </c>
      <c r="B3" s="33">
        <v>70000</v>
      </c>
    </row>
    <row r="4" spans="1:2" x14ac:dyDescent="0.25">
      <c r="A4" t="s">
        <v>98</v>
      </c>
      <c r="B4" s="33">
        <v>86000</v>
      </c>
    </row>
    <row r="5" spans="1:2" x14ac:dyDescent="0.25">
      <c r="A5" t="s">
        <v>97</v>
      </c>
      <c r="B5" s="33">
        <v>50000</v>
      </c>
    </row>
    <row r="6" spans="1:2" x14ac:dyDescent="0.25">
      <c r="A6" t="s">
        <v>96</v>
      </c>
      <c r="B6" s="33">
        <v>23000</v>
      </c>
    </row>
    <row r="7" spans="1:2" x14ac:dyDescent="0.25">
      <c r="A7" t="s">
        <v>47</v>
      </c>
      <c r="B7" s="33">
        <v>11000</v>
      </c>
    </row>
    <row r="8" spans="1:2" x14ac:dyDescent="0.25">
      <c r="A8" t="s">
        <v>48</v>
      </c>
      <c r="B8" s="33">
        <v>5700</v>
      </c>
    </row>
    <row r="9" spans="1:2" x14ac:dyDescent="0.25">
      <c r="A9" t="s">
        <v>49</v>
      </c>
      <c r="B9" s="33">
        <v>3800</v>
      </c>
    </row>
    <row r="10" spans="1:2" x14ac:dyDescent="0.25">
      <c r="A10" t="s">
        <v>50</v>
      </c>
      <c r="B10" s="33">
        <v>2800</v>
      </c>
    </row>
    <row r="11" spans="1:2" x14ac:dyDescent="0.25">
      <c r="A11" t="s">
        <v>51</v>
      </c>
      <c r="B11" s="33">
        <v>6200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6F1F-4E91-42E9-B837-2EA756DE07C3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136000</v>
      </c>
    </row>
    <row r="3" spans="1:2" x14ac:dyDescent="0.25">
      <c r="A3" t="s">
        <v>99</v>
      </c>
      <c r="B3" s="33">
        <v>125000</v>
      </c>
    </row>
    <row r="4" spans="1:2" x14ac:dyDescent="0.25">
      <c r="A4" t="s">
        <v>98</v>
      </c>
      <c r="B4" s="33">
        <v>280000</v>
      </c>
    </row>
    <row r="5" spans="1:2" x14ac:dyDescent="0.25">
      <c r="A5" t="s">
        <v>97</v>
      </c>
      <c r="B5" s="33">
        <v>303000</v>
      </c>
    </row>
    <row r="6" spans="1:2" x14ac:dyDescent="0.25">
      <c r="A6" t="s">
        <v>96</v>
      </c>
      <c r="B6" s="33">
        <v>131000</v>
      </c>
    </row>
    <row r="7" spans="1:2" x14ac:dyDescent="0.25">
      <c r="A7" t="s">
        <v>47</v>
      </c>
      <c r="B7" s="33">
        <v>51000</v>
      </c>
    </row>
    <row r="8" spans="1:2" x14ac:dyDescent="0.25">
      <c r="A8" t="s">
        <v>48</v>
      </c>
      <c r="B8" s="33">
        <v>21000</v>
      </c>
    </row>
    <row r="9" spans="1:2" x14ac:dyDescent="0.25">
      <c r="A9" t="s">
        <v>49</v>
      </c>
      <c r="B9" s="33">
        <v>11000</v>
      </c>
    </row>
    <row r="10" spans="1:2" x14ac:dyDescent="0.25">
      <c r="A10" t="s">
        <v>50</v>
      </c>
      <c r="B10" s="33">
        <v>7000</v>
      </c>
    </row>
    <row r="11" spans="1:2" x14ac:dyDescent="0.25">
      <c r="A11" t="s">
        <v>51</v>
      </c>
      <c r="B11" s="33">
        <v>15000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72A6-F933-4B8A-A29D-153ED2630DD6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1100000</v>
      </c>
    </row>
    <row r="3" spans="1:2" x14ac:dyDescent="0.25">
      <c r="A3" t="s">
        <v>99</v>
      </c>
      <c r="B3" s="33">
        <v>557000</v>
      </c>
    </row>
    <row r="4" spans="1:2" x14ac:dyDescent="0.25">
      <c r="A4" t="s">
        <v>98</v>
      </c>
      <c r="B4" s="33">
        <v>280000</v>
      </c>
    </row>
    <row r="5" spans="1:2" x14ac:dyDescent="0.25">
      <c r="A5" t="s">
        <v>97</v>
      </c>
      <c r="B5" s="33">
        <v>110000</v>
      </c>
    </row>
    <row r="6" spans="1:2" x14ac:dyDescent="0.25">
      <c r="A6" t="s">
        <v>96</v>
      </c>
      <c r="B6" s="33">
        <v>41000</v>
      </c>
    </row>
    <row r="7" spans="1:2" x14ac:dyDescent="0.25">
      <c r="A7" t="s">
        <v>47</v>
      </c>
      <c r="B7" s="33">
        <v>22000</v>
      </c>
    </row>
    <row r="8" spans="1:2" x14ac:dyDescent="0.25">
      <c r="A8" t="s">
        <v>48</v>
      </c>
      <c r="B8" s="33">
        <v>11000</v>
      </c>
    </row>
    <row r="9" spans="1:2" x14ac:dyDescent="0.25">
      <c r="A9" t="s">
        <v>49</v>
      </c>
      <c r="B9" s="33">
        <v>8400</v>
      </c>
    </row>
    <row r="10" spans="1:2" x14ac:dyDescent="0.25">
      <c r="A10" t="s">
        <v>50</v>
      </c>
      <c r="B10" s="33">
        <v>7500</v>
      </c>
    </row>
    <row r="11" spans="1:2" x14ac:dyDescent="0.25">
      <c r="A11" t="s">
        <v>51</v>
      </c>
      <c r="B11" s="33">
        <v>44000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F9F9B-DE77-46B7-A558-56A1399841C6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77000</v>
      </c>
    </row>
    <row r="3" spans="1:2" x14ac:dyDescent="0.25">
      <c r="A3" t="s">
        <v>99</v>
      </c>
      <c r="B3" s="33">
        <v>84000</v>
      </c>
    </row>
    <row r="4" spans="1:2" x14ac:dyDescent="0.25">
      <c r="A4" t="s">
        <v>98</v>
      </c>
      <c r="B4" s="33">
        <v>101000</v>
      </c>
    </row>
    <row r="5" spans="1:2" x14ac:dyDescent="0.25">
      <c r="A5" t="s">
        <v>97</v>
      </c>
      <c r="B5" s="33">
        <v>53000</v>
      </c>
    </row>
    <row r="6" spans="1:2" x14ac:dyDescent="0.25">
      <c r="A6" t="s">
        <v>96</v>
      </c>
      <c r="B6" s="33">
        <v>19000</v>
      </c>
    </row>
    <row r="7" spans="1:2" x14ac:dyDescent="0.25">
      <c r="A7" t="s">
        <v>47</v>
      </c>
      <c r="B7" s="33">
        <v>7900</v>
      </c>
    </row>
    <row r="8" spans="1:2" x14ac:dyDescent="0.25">
      <c r="A8" t="s">
        <v>48</v>
      </c>
      <c r="B8" s="33">
        <v>3400</v>
      </c>
    </row>
    <row r="9" spans="1:2" x14ac:dyDescent="0.25">
      <c r="A9" t="s">
        <v>49</v>
      </c>
      <c r="B9" s="33">
        <v>1900</v>
      </c>
    </row>
    <row r="10" spans="1:2" x14ac:dyDescent="0.25">
      <c r="A10" t="s">
        <v>50</v>
      </c>
      <c r="B10" s="33">
        <v>1400</v>
      </c>
    </row>
    <row r="11" spans="1:2" x14ac:dyDescent="0.25">
      <c r="A11" t="s">
        <v>51</v>
      </c>
      <c r="B11" s="33">
        <v>4200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C7B7-365A-4084-BDCF-23C6B9422925}">
  <dimension ref="A1:B11"/>
  <sheetViews>
    <sheetView workbookViewId="0">
      <selection activeCell="G21" sqref="G21"/>
    </sheetView>
  </sheetViews>
  <sheetFormatPr defaultRowHeight="15" x14ac:dyDescent="0.25"/>
  <cols>
    <col min="2" max="2" width="14.28515625" bestFit="1" customWidth="1"/>
  </cols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85000</v>
      </c>
    </row>
    <row r="3" spans="1:2" x14ac:dyDescent="0.25">
      <c r="A3" t="s">
        <v>99</v>
      </c>
      <c r="B3" s="33">
        <v>62000</v>
      </c>
    </row>
    <row r="4" spans="1:2" x14ac:dyDescent="0.25">
      <c r="A4" t="s">
        <v>98</v>
      </c>
      <c r="B4" s="33">
        <v>102000</v>
      </c>
    </row>
    <row r="5" spans="1:2" x14ac:dyDescent="0.25">
      <c r="A5" t="s">
        <v>97</v>
      </c>
      <c r="B5" s="33">
        <v>74000</v>
      </c>
    </row>
    <row r="6" spans="1:2" x14ac:dyDescent="0.25">
      <c r="A6" t="s">
        <v>96</v>
      </c>
      <c r="B6" s="33">
        <v>29000</v>
      </c>
    </row>
    <row r="7" spans="1:2" x14ac:dyDescent="0.25">
      <c r="A7" t="s">
        <v>47</v>
      </c>
      <c r="B7" s="33">
        <v>11000</v>
      </c>
    </row>
    <row r="8" spans="1:2" x14ac:dyDescent="0.25">
      <c r="A8" t="s">
        <v>48</v>
      </c>
      <c r="B8" s="33">
        <v>4600</v>
      </c>
    </row>
    <row r="9" spans="1:2" x14ac:dyDescent="0.25">
      <c r="A9" t="s">
        <v>49</v>
      </c>
      <c r="B9" s="33">
        <v>2600</v>
      </c>
    </row>
    <row r="10" spans="1:2" x14ac:dyDescent="0.25">
      <c r="A10" t="s">
        <v>50</v>
      </c>
      <c r="B10" s="33">
        <v>1800</v>
      </c>
    </row>
    <row r="11" spans="1:2" x14ac:dyDescent="0.25">
      <c r="A11" t="s">
        <v>51</v>
      </c>
      <c r="B11" s="33">
        <v>3700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F14F-B976-49C7-AB93-FB6BB3FCACA8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407000</v>
      </c>
    </row>
    <row r="3" spans="1:2" x14ac:dyDescent="0.25">
      <c r="A3" t="s">
        <v>99</v>
      </c>
      <c r="B3" s="33">
        <v>563000</v>
      </c>
    </row>
    <row r="4" spans="1:2" x14ac:dyDescent="0.25">
      <c r="A4" t="s">
        <v>98</v>
      </c>
      <c r="B4" s="33">
        <v>482000</v>
      </c>
    </row>
    <row r="5" spans="1:2" x14ac:dyDescent="0.25">
      <c r="A5" t="s">
        <v>97</v>
      </c>
      <c r="B5" s="33">
        <v>182000</v>
      </c>
    </row>
    <row r="6" spans="1:2" x14ac:dyDescent="0.25">
      <c r="A6" t="s">
        <v>96</v>
      </c>
      <c r="B6" s="33">
        <v>48000</v>
      </c>
    </row>
    <row r="7" spans="1:2" x14ac:dyDescent="0.25">
      <c r="A7" t="s">
        <v>47</v>
      </c>
      <c r="B7" s="33">
        <v>17000</v>
      </c>
    </row>
    <row r="8" spans="1:2" x14ac:dyDescent="0.25">
      <c r="A8" t="s">
        <v>48</v>
      </c>
      <c r="B8" s="33">
        <v>7400</v>
      </c>
    </row>
    <row r="9" spans="1:2" x14ac:dyDescent="0.25">
      <c r="A9" t="s">
        <v>49</v>
      </c>
      <c r="B9" s="33">
        <v>4200</v>
      </c>
    </row>
    <row r="10" spans="1:2" x14ac:dyDescent="0.25">
      <c r="A10" t="s">
        <v>50</v>
      </c>
      <c r="B10" s="33">
        <v>3200</v>
      </c>
    </row>
    <row r="11" spans="1:2" x14ac:dyDescent="0.25">
      <c r="A11" t="s">
        <v>51</v>
      </c>
      <c r="B11" s="33">
        <v>7600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CFEB-FA07-4ACA-B175-82E918637066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274000</v>
      </c>
    </row>
    <row r="3" spans="1:2" x14ac:dyDescent="0.25">
      <c r="A3" t="s">
        <v>99</v>
      </c>
      <c r="B3" s="33">
        <v>332000</v>
      </c>
    </row>
    <row r="4" spans="1:2" x14ac:dyDescent="0.25">
      <c r="A4" t="s">
        <v>98</v>
      </c>
      <c r="B4" s="33">
        <v>339000</v>
      </c>
    </row>
    <row r="5" spans="1:2" x14ac:dyDescent="0.25">
      <c r="A5" t="s">
        <v>97</v>
      </c>
      <c r="B5" s="33">
        <v>165000</v>
      </c>
    </row>
    <row r="6" spans="1:2" x14ac:dyDescent="0.25">
      <c r="A6" t="s">
        <v>96</v>
      </c>
      <c r="B6" s="33">
        <v>59000</v>
      </c>
    </row>
    <row r="7" spans="1:2" x14ac:dyDescent="0.25">
      <c r="A7" t="s">
        <v>47</v>
      </c>
      <c r="B7" s="33">
        <v>24000</v>
      </c>
    </row>
    <row r="8" spans="1:2" x14ac:dyDescent="0.25">
      <c r="A8" t="s">
        <v>48</v>
      </c>
      <c r="B8" s="33">
        <v>11000</v>
      </c>
    </row>
    <row r="9" spans="1:2" x14ac:dyDescent="0.25">
      <c r="A9" t="s">
        <v>49</v>
      </c>
      <c r="B9" s="33">
        <v>6600</v>
      </c>
    </row>
    <row r="10" spans="1:2" x14ac:dyDescent="0.25">
      <c r="A10" t="s">
        <v>50</v>
      </c>
      <c r="B10" s="33">
        <v>4500</v>
      </c>
    </row>
    <row r="11" spans="1:2" x14ac:dyDescent="0.25">
      <c r="A11" t="s">
        <v>51</v>
      </c>
      <c r="B11" s="33">
        <v>8900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393C-42CA-4BDB-805D-7EDD211B3D2E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56000</v>
      </c>
    </row>
    <row r="3" spans="1:2" x14ac:dyDescent="0.25">
      <c r="A3" t="s">
        <v>99</v>
      </c>
      <c r="B3" s="33">
        <v>98000</v>
      </c>
    </row>
    <row r="4" spans="1:2" x14ac:dyDescent="0.25">
      <c r="A4" t="s">
        <v>98</v>
      </c>
      <c r="B4" s="33">
        <v>192000</v>
      </c>
    </row>
    <row r="5" spans="1:2" x14ac:dyDescent="0.25">
      <c r="A5" t="s">
        <v>97</v>
      </c>
      <c r="B5" s="33">
        <v>118000</v>
      </c>
    </row>
    <row r="6" spans="1:2" x14ac:dyDescent="0.25">
      <c r="A6" t="s">
        <v>96</v>
      </c>
      <c r="B6" s="33">
        <v>37000</v>
      </c>
    </row>
    <row r="7" spans="1:2" x14ac:dyDescent="0.25">
      <c r="A7" t="s">
        <v>47</v>
      </c>
      <c r="B7" s="33">
        <v>12000</v>
      </c>
    </row>
    <row r="8" spans="1:2" x14ac:dyDescent="0.25">
      <c r="A8" t="s">
        <v>48</v>
      </c>
      <c r="B8" s="33">
        <v>4900</v>
      </c>
    </row>
    <row r="9" spans="1:2" x14ac:dyDescent="0.25">
      <c r="A9" t="s">
        <v>49</v>
      </c>
      <c r="B9" s="33">
        <v>2600</v>
      </c>
    </row>
    <row r="10" spans="1:2" x14ac:dyDescent="0.25">
      <c r="A10" t="s">
        <v>50</v>
      </c>
      <c r="B10" s="33">
        <v>1800</v>
      </c>
    </row>
    <row r="11" spans="1:2" x14ac:dyDescent="0.25">
      <c r="A11" t="s">
        <v>51</v>
      </c>
      <c r="B11" s="33">
        <v>4400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CE5-D8E2-4884-B7FC-2BF15DEC426F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1500000</v>
      </c>
    </row>
    <row r="3" spans="1:2" x14ac:dyDescent="0.25">
      <c r="A3" t="s">
        <v>99</v>
      </c>
      <c r="B3" s="33">
        <v>600000</v>
      </c>
    </row>
    <row r="4" spans="1:2" x14ac:dyDescent="0.25">
      <c r="A4" t="s">
        <v>98</v>
      </c>
      <c r="B4" s="33">
        <v>259000</v>
      </c>
    </row>
    <row r="5" spans="1:2" x14ac:dyDescent="0.25">
      <c r="A5" t="s">
        <v>97</v>
      </c>
      <c r="B5" s="33">
        <v>99000</v>
      </c>
    </row>
    <row r="6" spans="1:2" x14ac:dyDescent="0.25">
      <c r="A6" t="s">
        <v>96</v>
      </c>
      <c r="B6" s="33">
        <v>38000</v>
      </c>
    </row>
    <row r="7" spans="1:2" x14ac:dyDescent="0.25">
      <c r="A7" t="s">
        <v>47</v>
      </c>
      <c r="B7" s="33">
        <v>22000</v>
      </c>
    </row>
    <row r="8" spans="1:2" x14ac:dyDescent="0.25">
      <c r="A8" t="s">
        <v>48</v>
      </c>
      <c r="B8" s="33">
        <v>11000</v>
      </c>
    </row>
    <row r="9" spans="1:2" x14ac:dyDescent="0.25">
      <c r="A9" t="s">
        <v>49</v>
      </c>
      <c r="B9" s="33">
        <v>9700</v>
      </c>
    </row>
    <row r="10" spans="1:2" x14ac:dyDescent="0.25">
      <c r="A10" t="s">
        <v>50</v>
      </c>
      <c r="B10" s="33">
        <v>11000</v>
      </c>
    </row>
    <row r="11" spans="1:2" x14ac:dyDescent="0.25">
      <c r="A11" t="s">
        <v>51</v>
      </c>
      <c r="B11" s="33">
        <v>85000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CAF5-662E-4034-84BD-8907A636DD4C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67000</v>
      </c>
    </row>
    <row r="3" spans="1:2" x14ac:dyDescent="0.25">
      <c r="A3" t="s">
        <v>99</v>
      </c>
      <c r="B3" s="33">
        <v>75000</v>
      </c>
    </row>
    <row r="4" spans="1:2" x14ac:dyDescent="0.25">
      <c r="A4" t="s">
        <v>98</v>
      </c>
      <c r="B4" s="33">
        <v>165000</v>
      </c>
    </row>
    <row r="5" spans="1:2" x14ac:dyDescent="0.25">
      <c r="A5" t="s">
        <v>97</v>
      </c>
      <c r="B5" s="33">
        <v>182000</v>
      </c>
    </row>
    <row r="6" spans="1:2" x14ac:dyDescent="0.25">
      <c r="A6" t="s">
        <v>96</v>
      </c>
      <c r="B6" s="33">
        <v>89000</v>
      </c>
    </row>
    <row r="7" spans="1:2" x14ac:dyDescent="0.25">
      <c r="A7" t="s">
        <v>47</v>
      </c>
      <c r="B7" s="33">
        <v>35000</v>
      </c>
    </row>
    <row r="8" spans="1:2" x14ac:dyDescent="0.25">
      <c r="A8" t="s">
        <v>48</v>
      </c>
      <c r="B8" s="33">
        <v>14000</v>
      </c>
    </row>
    <row r="9" spans="1:2" x14ac:dyDescent="0.25">
      <c r="A9" t="s">
        <v>49</v>
      </c>
      <c r="B9" s="33">
        <v>6800</v>
      </c>
    </row>
    <row r="10" spans="1:2" x14ac:dyDescent="0.25">
      <c r="A10" t="s">
        <v>50</v>
      </c>
      <c r="B10" s="33">
        <v>3900</v>
      </c>
    </row>
    <row r="11" spans="1:2" x14ac:dyDescent="0.25">
      <c r="A11" t="s">
        <v>51</v>
      </c>
      <c r="B11" s="33">
        <v>6000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12FCF-0403-4877-9283-DBFB361D8915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316000</v>
      </c>
    </row>
    <row r="3" spans="1:2" x14ac:dyDescent="0.25">
      <c r="A3" t="s">
        <v>99</v>
      </c>
      <c r="B3" s="33">
        <v>368000</v>
      </c>
    </row>
    <row r="4" spans="1:2" x14ac:dyDescent="0.25">
      <c r="A4" t="s">
        <v>98</v>
      </c>
      <c r="B4" s="33">
        <v>287000</v>
      </c>
    </row>
    <row r="5" spans="1:2" x14ac:dyDescent="0.25">
      <c r="A5" t="s">
        <v>97</v>
      </c>
      <c r="B5" s="33">
        <v>116000</v>
      </c>
    </row>
    <row r="6" spans="1:2" x14ac:dyDescent="0.25">
      <c r="A6" t="s">
        <v>96</v>
      </c>
      <c r="B6" s="33">
        <v>35000</v>
      </c>
    </row>
    <row r="7" spans="1:2" x14ac:dyDescent="0.25">
      <c r="A7" t="s">
        <v>47</v>
      </c>
      <c r="B7" s="33">
        <v>13000</v>
      </c>
    </row>
    <row r="8" spans="1:2" x14ac:dyDescent="0.25">
      <c r="A8" t="s">
        <v>48</v>
      </c>
      <c r="B8" s="33">
        <v>5900</v>
      </c>
    </row>
    <row r="9" spans="1:2" x14ac:dyDescent="0.25">
      <c r="A9" t="s">
        <v>49</v>
      </c>
      <c r="B9" s="33">
        <v>3300</v>
      </c>
    </row>
    <row r="10" spans="1:2" x14ac:dyDescent="0.25">
      <c r="A10" t="s">
        <v>50</v>
      </c>
      <c r="B10" s="33">
        <v>2400</v>
      </c>
    </row>
    <row r="11" spans="1:2" x14ac:dyDescent="0.25">
      <c r="A11" t="s">
        <v>51</v>
      </c>
      <c r="B11" s="33">
        <v>8900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9D5D-47A4-4173-9DF0-8F8769EEF86E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226000</v>
      </c>
    </row>
    <row r="3" spans="1:2" x14ac:dyDescent="0.25">
      <c r="A3" t="s">
        <v>99</v>
      </c>
      <c r="B3" s="33">
        <v>253000</v>
      </c>
    </row>
    <row r="4" spans="1:2" x14ac:dyDescent="0.25">
      <c r="A4" t="s">
        <v>98</v>
      </c>
      <c r="B4" s="33">
        <v>384000</v>
      </c>
    </row>
    <row r="5" spans="1:2" x14ac:dyDescent="0.25">
      <c r="A5" t="s">
        <v>97</v>
      </c>
      <c r="B5" s="33">
        <v>204000</v>
      </c>
    </row>
    <row r="6" spans="1:2" x14ac:dyDescent="0.25">
      <c r="A6" t="s">
        <v>96</v>
      </c>
      <c r="B6" s="33">
        <v>65000</v>
      </c>
    </row>
    <row r="7" spans="1:2" x14ac:dyDescent="0.25">
      <c r="A7" t="s">
        <v>47</v>
      </c>
      <c r="B7" s="33">
        <v>23000</v>
      </c>
    </row>
    <row r="8" spans="1:2" x14ac:dyDescent="0.25">
      <c r="A8" t="s">
        <v>48</v>
      </c>
      <c r="B8" s="33">
        <v>9100</v>
      </c>
    </row>
    <row r="9" spans="1:2" x14ac:dyDescent="0.25">
      <c r="A9" t="s">
        <v>49</v>
      </c>
      <c r="B9" s="33">
        <v>5000</v>
      </c>
    </row>
    <row r="10" spans="1:2" x14ac:dyDescent="0.25">
      <c r="A10" t="s">
        <v>50</v>
      </c>
      <c r="B10" s="33">
        <v>3000</v>
      </c>
    </row>
    <row r="11" spans="1:2" x14ac:dyDescent="0.25">
      <c r="A11" t="s">
        <v>51</v>
      </c>
      <c r="B11" s="33">
        <v>5500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DE7C-1E14-4283-AA3D-065982CB788A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875000</v>
      </c>
    </row>
    <row r="3" spans="1:2" x14ac:dyDescent="0.25">
      <c r="A3" t="s">
        <v>99</v>
      </c>
      <c r="B3" s="33">
        <v>805000</v>
      </c>
    </row>
    <row r="4" spans="1:2" x14ac:dyDescent="0.25">
      <c r="A4" t="s">
        <v>98</v>
      </c>
      <c r="B4" s="33">
        <v>538000</v>
      </c>
    </row>
    <row r="5" spans="1:2" x14ac:dyDescent="0.25">
      <c r="A5" t="s">
        <v>97</v>
      </c>
      <c r="B5" s="33">
        <v>220000</v>
      </c>
    </row>
    <row r="6" spans="1:2" x14ac:dyDescent="0.25">
      <c r="A6" t="s">
        <v>96</v>
      </c>
      <c r="B6" s="33">
        <v>74000</v>
      </c>
    </row>
    <row r="7" spans="1:2" x14ac:dyDescent="0.25">
      <c r="A7" t="s">
        <v>47</v>
      </c>
      <c r="B7" s="33">
        <v>33000</v>
      </c>
    </row>
    <row r="8" spans="1:2" x14ac:dyDescent="0.25">
      <c r="A8" t="s">
        <v>48</v>
      </c>
      <c r="B8" s="33">
        <v>17000</v>
      </c>
    </row>
    <row r="9" spans="1:2" x14ac:dyDescent="0.25">
      <c r="A9" t="s">
        <v>49</v>
      </c>
      <c r="B9" s="33">
        <v>11000</v>
      </c>
    </row>
    <row r="10" spans="1:2" x14ac:dyDescent="0.25">
      <c r="A10" t="s">
        <v>50</v>
      </c>
      <c r="B10" s="33">
        <v>8800</v>
      </c>
    </row>
    <row r="11" spans="1:2" x14ac:dyDescent="0.25">
      <c r="A11" t="s">
        <v>51</v>
      </c>
      <c r="B11" s="33">
        <v>23000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8503-25B8-4431-B90B-88CCCC1C41E2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87000</v>
      </c>
    </row>
    <row r="3" spans="1:2" x14ac:dyDescent="0.25">
      <c r="A3" t="s">
        <v>99</v>
      </c>
      <c r="B3" s="33">
        <v>80000</v>
      </c>
    </row>
    <row r="4" spans="1:2" x14ac:dyDescent="0.25">
      <c r="A4" t="s">
        <v>98</v>
      </c>
      <c r="B4" s="33">
        <v>66000</v>
      </c>
    </row>
    <row r="5" spans="1:2" x14ac:dyDescent="0.25">
      <c r="A5" t="s">
        <v>97</v>
      </c>
      <c r="B5" s="33">
        <v>30000</v>
      </c>
    </row>
    <row r="6" spans="1:2" x14ac:dyDescent="0.25">
      <c r="A6" t="s">
        <v>96</v>
      </c>
      <c r="B6" s="33">
        <v>12000</v>
      </c>
    </row>
    <row r="7" spans="1:2" x14ac:dyDescent="0.25">
      <c r="A7" t="s">
        <v>47</v>
      </c>
      <c r="B7" s="33">
        <v>6100</v>
      </c>
    </row>
    <row r="8" spans="1:2" x14ac:dyDescent="0.25">
      <c r="A8" t="s">
        <v>48</v>
      </c>
      <c r="B8" s="33">
        <v>3400</v>
      </c>
    </row>
    <row r="9" spans="1:2" x14ac:dyDescent="0.25">
      <c r="A9" t="s">
        <v>49</v>
      </c>
      <c r="B9" s="33">
        <v>2400</v>
      </c>
    </row>
    <row r="10" spans="1:2" x14ac:dyDescent="0.25">
      <c r="A10" t="s">
        <v>50</v>
      </c>
      <c r="B10" s="33">
        <v>2100</v>
      </c>
    </row>
    <row r="11" spans="1:2" x14ac:dyDescent="0.25">
      <c r="A11" t="s">
        <v>51</v>
      </c>
      <c r="B11" s="33">
        <v>7300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BEA81-50B4-46FF-B693-F1E214E00392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34000</v>
      </c>
    </row>
    <row r="3" spans="1:2" x14ac:dyDescent="0.25">
      <c r="A3" t="s">
        <v>99</v>
      </c>
      <c r="B3" s="33">
        <v>36000</v>
      </c>
    </row>
    <row r="4" spans="1:2" x14ac:dyDescent="0.25">
      <c r="A4" t="s">
        <v>98</v>
      </c>
      <c r="B4" s="33">
        <v>73000</v>
      </c>
    </row>
    <row r="5" spans="1:2" x14ac:dyDescent="0.25">
      <c r="A5" t="s">
        <v>97</v>
      </c>
      <c r="B5" s="33">
        <v>67000</v>
      </c>
    </row>
    <row r="6" spans="1:2" x14ac:dyDescent="0.25">
      <c r="A6" t="s">
        <v>96</v>
      </c>
      <c r="B6" s="33">
        <v>32000</v>
      </c>
    </row>
    <row r="7" spans="1:2" x14ac:dyDescent="0.25">
      <c r="A7" t="s">
        <v>47</v>
      </c>
      <c r="B7" s="33">
        <v>13000</v>
      </c>
    </row>
    <row r="8" spans="1:2" x14ac:dyDescent="0.25">
      <c r="A8" t="s">
        <v>48</v>
      </c>
      <c r="B8" s="33">
        <v>6100</v>
      </c>
    </row>
    <row r="9" spans="1:2" x14ac:dyDescent="0.25">
      <c r="A9" t="s">
        <v>49</v>
      </c>
      <c r="B9" s="33">
        <v>3200</v>
      </c>
    </row>
    <row r="10" spans="1:2" x14ac:dyDescent="0.25">
      <c r="A10" t="s">
        <v>50</v>
      </c>
      <c r="B10" s="33">
        <v>2000</v>
      </c>
    </row>
    <row r="11" spans="1:2" x14ac:dyDescent="0.25">
      <c r="A11" t="s">
        <v>51</v>
      </c>
      <c r="B11" s="33">
        <v>2800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FDDA-2734-4C73-933F-85ECE1322BD6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605000</v>
      </c>
    </row>
    <row r="3" spans="1:2" x14ac:dyDescent="0.25">
      <c r="A3" t="s">
        <v>99</v>
      </c>
      <c r="B3" s="33">
        <v>503000</v>
      </c>
    </row>
    <row r="4" spans="1:2" x14ac:dyDescent="0.25">
      <c r="A4" t="s">
        <v>98</v>
      </c>
      <c r="B4" s="33">
        <v>281000</v>
      </c>
    </row>
    <row r="5" spans="1:2" x14ac:dyDescent="0.25">
      <c r="A5" t="s">
        <v>97</v>
      </c>
      <c r="B5" s="33">
        <v>102000</v>
      </c>
    </row>
    <row r="6" spans="1:2" x14ac:dyDescent="0.25">
      <c r="A6" t="s">
        <v>96</v>
      </c>
      <c r="B6" s="33">
        <v>34000</v>
      </c>
    </row>
    <row r="7" spans="1:2" x14ac:dyDescent="0.25">
      <c r="A7" t="s">
        <v>47</v>
      </c>
      <c r="B7" s="33">
        <v>16000</v>
      </c>
    </row>
    <row r="8" spans="1:2" x14ac:dyDescent="0.25">
      <c r="A8" t="s">
        <v>48</v>
      </c>
      <c r="B8" s="33">
        <v>7600</v>
      </c>
    </row>
    <row r="9" spans="1:2" x14ac:dyDescent="0.25">
      <c r="A9" t="s">
        <v>49</v>
      </c>
      <c r="B9" s="33">
        <v>5700</v>
      </c>
    </row>
    <row r="10" spans="1:2" x14ac:dyDescent="0.25">
      <c r="A10" t="s">
        <v>50</v>
      </c>
      <c r="B10" s="33">
        <v>5300</v>
      </c>
    </row>
    <row r="11" spans="1:2" x14ac:dyDescent="0.25">
      <c r="A11" t="s">
        <v>51</v>
      </c>
      <c r="B11" s="33">
        <v>24000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A79D-D14F-4993-9242-BD72D1D6A575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204000</v>
      </c>
    </row>
    <row r="3" spans="1:2" x14ac:dyDescent="0.25">
      <c r="A3" t="s">
        <v>99</v>
      </c>
      <c r="B3" s="33">
        <v>197000</v>
      </c>
    </row>
    <row r="4" spans="1:2" x14ac:dyDescent="0.25">
      <c r="A4" t="s">
        <v>98</v>
      </c>
      <c r="B4" s="33">
        <v>226000</v>
      </c>
    </row>
    <row r="5" spans="1:2" x14ac:dyDescent="0.25">
      <c r="A5" t="s">
        <v>97</v>
      </c>
      <c r="B5" s="33">
        <v>137000</v>
      </c>
    </row>
    <row r="6" spans="1:2" x14ac:dyDescent="0.25">
      <c r="A6" t="s">
        <v>96</v>
      </c>
      <c r="B6" s="33">
        <v>60000</v>
      </c>
    </row>
    <row r="7" spans="1:2" x14ac:dyDescent="0.25">
      <c r="A7" t="s">
        <v>47</v>
      </c>
      <c r="B7" s="33">
        <v>26000</v>
      </c>
    </row>
    <row r="8" spans="1:2" x14ac:dyDescent="0.25">
      <c r="A8" t="s">
        <v>48</v>
      </c>
      <c r="B8" s="33">
        <v>12000</v>
      </c>
    </row>
    <row r="9" spans="1:2" x14ac:dyDescent="0.25">
      <c r="A9" t="s">
        <v>49</v>
      </c>
      <c r="B9" s="33">
        <v>7000</v>
      </c>
    </row>
    <row r="10" spans="1:2" x14ac:dyDescent="0.25">
      <c r="A10" t="s">
        <v>50</v>
      </c>
      <c r="B10" s="33">
        <v>4600</v>
      </c>
    </row>
    <row r="11" spans="1:2" x14ac:dyDescent="0.25">
      <c r="A11" t="s">
        <v>51</v>
      </c>
      <c r="B11" s="33">
        <v>7600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74B5-EA6A-41FF-BD1D-BFD4EE75077F}">
  <dimension ref="A1:B11"/>
  <sheetViews>
    <sheetView workbookViewId="0">
      <selection activeCell="P25" sqref="P25"/>
    </sheetView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157000</v>
      </c>
    </row>
    <row r="3" spans="1:2" x14ac:dyDescent="0.25">
      <c r="A3" t="s">
        <v>99</v>
      </c>
      <c r="B3" s="33">
        <v>122000</v>
      </c>
    </row>
    <row r="4" spans="1:2" x14ac:dyDescent="0.25">
      <c r="A4" t="s">
        <v>98</v>
      </c>
      <c r="B4" s="33">
        <v>184000</v>
      </c>
    </row>
    <row r="5" spans="1:2" x14ac:dyDescent="0.25">
      <c r="A5" t="s">
        <v>97</v>
      </c>
      <c r="B5" s="33">
        <v>122000</v>
      </c>
    </row>
    <row r="6" spans="1:2" x14ac:dyDescent="0.25">
      <c r="A6" t="s">
        <v>96</v>
      </c>
      <c r="B6" s="33">
        <v>53000</v>
      </c>
    </row>
    <row r="7" spans="1:2" x14ac:dyDescent="0.25">
      <c r="A7" t="s">
        <v>47</v>
      </c>
      <c r="B7" s="33">
        <v>23000</v>
      </c>
    </row>
    <row r="8" spans="1:2" x14ac:dyDescent="0.25">
      <c r="A8" t="s">
        <v>48</v>
      </c>
      <c r="B8" s="33">
        <v>10000</v>
      </c>
    </row>
    <row r="9" spans="1:2" x14ac:dyDescent="0.25">
      <c r="A9" t="s">
        <v>49</v>
      </c>
      <c r="B9" s="33">
        <v>5700</v>
      </c>
    </row>
    <row r="10" spans="1:2" x14ac:dyDescent="0.25">
      <c r="A10" t="s">
        <v>50</v>
      </c>
      <c r="B10" s="33">
        <v>3900</v>
      </c>
    </row>
    <row r="11" spans="1:2" x14ac:dyDescent="0.25">
      <c r="A11" t="s">
        <v>51</v>
      </c>
      <c r="B11" s="33">
        <v>8000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577B-FB82-434F-A06E-46B54B7B7B9D}">
  <dimension ref="A1:AR40"/>
  <sheetViews>
    <sheetView tabSelected="1" zoomScaleNormal="100" workbookViewId="0">
      <selection activeCell="L27" sqref="L27"/>
    </sheetView>
  </sheetViews>
  <sheetFormatPr defaultColWidth="12.7109375" defaultRowHeight="15" x14ac:dyDescent="0.25"/>
  <cols>
    <col min="1" max="1" width="21" style="35" customWidth="1"/>
    <col min="2" max="13" width="11.42578125" style="35" customWidth="1"/>
    <col min="14" max="14" width="21" style="35" customWidth="1"/>
    <col min="15" max="21" width="11.42578125" style="35" customWidth="1"/>
    <col min="22" max="22" width="12.7109375" style="35"/>
    <col min="23" max="44" width="0" style="35" hidden="1" customWidth="1"/>
    <col min="45" max="16384" width="12.7109375" style="35"/>
  </cols>
  <sheetData>
    <row r="1" spans="1:44" ht="34.5" x14ac:dyDescent="0.55000000000000004">
      <c r="A1" s="44" t="s">
        <v>102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W1" s="35" t="s">
        <v>130</v>
      </c>
      <c r="X1" s="35" t="s">
        <v>131</v>
      </c>
      <c r="Y1" s="35" t="s">
        <v>132</v>
      </c>
      <c r="AA1" s="35" t="s">
        <v>130</v>
      </c>
      <c r="AB1" s="35" t="s">
        <v>161</v>
      </c>
      <c r="AC1" s="35" t="s">
        <v>162</v>
      </c>
      <c r="AD1" s="35" t="s">
        <v>163</v>
      </c>
      <c r="AE1" s="35" t="s">
        <v>164</v>
      </c>
      <c r="AF1" s="35" t="s">
        <v>165</v>
      </c>
      <c r="AH1" s="35" t="s">
        <v>130</v>
      </c>
      <c r="AI1" s="35" t="s">
        <v>166</v>
      </c>
      <c r="AJ1" s="35" t="s">
        <v>167</v>
      </c>
      <c r="AK1" s="35" t="s">
        <v>168</v>
      </c>
      <c r="AL1" s="35" t="s">
        <v>169</v>
      </c>
      <c r="AM1" s="35" t="s">
        <v>170</v>
      </c>
      <c r="AN1" s="35" t="s">
        <v>165</v>
      </c>
      <c r="AO1" s="35" t="s">
        <v>164</v>
      </c>
      <c r="AP1" s="35" t="s">
        <v>163</v>
      </c>
      <c r="AQ1" s="35" t="s">
        <v>162</v>
      </c>
      <c r="AR1" s="35" t="s">
        <v>161</v>
      </c>
    </row>
    <row r="2" spans="1:44" x14ac:dyDescent="0.25">
      <c r="W2" s="35" t="s">
        <v>5</v>
      </c>
      <c r="X2" s="35" t="s">
        <v>133</v>
      </c>
      <c r="Y2" s="35" t="s">
        <v>134</v>
      </c>
      <c r="AA2" s="35" t="s">
        <v>5</v>
      </c>
      <c r="AB2" s="35">
        <v>7147</v>
      </c>
      <c r="AC2" s="35">
        <v>13555</v>
      </c>
      <c r="AD2" s="35">
        <v>53778</v>
      </c>
      <c r="AE2" s="35">
        <v>160455</v>
      </c>
      <c r="AF2" s="35">
        <v>503742</v>
      </c>
      <c r="AH2" s="35" t="s">
        <v>5</v>
      </c>
      <c r="AI2" s="35">
        <v>860000</v>
      </c>
      <c r="AJ2" s="35">
        <v>612000</v>
      </c>
      <c r="AK2" s="35">
        <v>411000</v>
      </c>
      <c r="AL2" s="35">
        <v>170000</v>
      </c>
      <c r="AM2" s="35">
        <v>59000</v>
      </c>
      <c r="AN2" s="35">
        <v>28000</v>
      </c>
      <c r="AO2" s="35">
        <v>14000</v>
      </c>
      <c r="AP2" s="35">
        <v>10000</v>
      </c>
      <c r="AQ2" s="35">
        <v>8300</v>
      </c>
      <c r="AR2" s="35">
        <v>32000</v>
      </c>
    </row>
    <row r="3" spans="1:44" ht="21.95" customHeight="1" x14ac:dyDescent="0.25">
      <c r="I3" s="45" t="s">
        <v>103</v>
      </c>
      <c r="J3" s="45"/>
      <c r="K3" s="45"/>
      <c r="L3" s="45"/>
      <c r="M3" s="45"/>
      <c r="W3" s="35" t="s">
        <v>7</v>
      </c>
      <c r="X3" s="35" t="s">
        <v>135</v>
      </c>
      <c r="Y3" s="35" t="s">
        <v>136</v>
      </c>
      <c r="AA3" s="35" t="s">
        <v>7</v>
      </c>
      <c r="AB3" s="35">
        <v>193502</v>
      </c>
      <c r="AC3" s="35">
        <v>220459</v>
      </c>
      <c r="AD3" s="35">
        <v>988556</v>
      </c>
      <c r="AE3" s="35">
        <v>2735320</v>
      </c>
      <c r="AF3" s="35">
        <v>7440244</v>
      </c>
      <c r="AH3" s="35" t="s">
        <v>7</v>
      </c>
      <c r="AI3" s="35">
        <v>175000</v>
      </c>
      <c r="AJ3" s="35">
        <v>121000</v>
      </c>
      <c r="AK3" s="35">
        <v>270000</v>
      </c>
      <c r="AL3" s="35">
        <v>241000</v>
      </c>
      <c r="AM3" s="35">
        <v>87000</v>
      </c>
      <c r="AN3" s="35">
        <v>29000</v>
      </c>
      <c r="AO3" s="35">
        <v>10000</v>
      </c>
      <c r="AP3" s="35">
        <v>5300</v>
      </c>
      <c r="AQ3" s="35">
        <v>3200</v>
      </c>
      <c r="AR3" s="35">
        <v>9300</v>
      </c>
    </row>
    <row r="4" spans="1:44" ht="24" customHeight="1" thickBot="1" x14ac:dyDescent="0.35">
      <c r="I4" s="34" t="s">
        <v>13</v>
      </c>
      <c r="J4" s="34"/>
      <c r="K4" s="34"/>
      <c r="L4" s="34"/>
      <c r="M4" s="34"/>
      <c r="N4" s="43"/>
      <c r="W4" s="35" t="s">
        <v>9</v>
      </c>
      <c r="X4" s="35" t="s">
        <v>137</v>
      </c>
      <c r="Y4" s="35" t="s">
        <v>138</v>
      </c>
      <c r="AA4" s="35" t="s">
        <v>9</v>
      </c>
      <c r="AB4" s="35">
        <v>27777</v>
      </c>
      <c r="AC4" s="35">
        <v>44105</v>
      </c>
      <c r="AD4" s="35">
        <v>151665</v>
      </c>
      <c r="AE4" s="35">
        <v>319713</v>
      </c>
      <c r="AF4" s="35">
        <v>719870</v>
      </c>
      <c r="AH4" s="35" t="s">
        <v>9</v>
      </c>
      <c r="AI4" s="35">
        <v>98000</v>
      </c>
      <c r="AJ4" s="35">
        <v>70000</v>
      </c>
      <c r="AK4" s="35">
        <v>86000</v>
      </c>
      <c r="AL4" s="35">
        <v>50000</v>
      </c>
      <c r="AM4" s="35">
        <v>23000</v>
      </c>
      <c r="AN4" s="35">
        <v>11000</v>
      </c>
      <c r="AO4" s="35">
        <v>5700</v>
      </c>
      <c r="AP4" s="35">
        <v>3800</v>
      </c>
      <c r="AQ4" s="35">
        <v>2800</v>
      </c>
      <c r="AR4" s="35">
        <v>6200</v>
      </c>
    </row>
    <row r="5" spans="1:44" ht="15.75" thickTop="1" x14ac:dyDescent="0.25">
      <c r="W5" s="35" t="s">
        <v>11</v>
      </c>
      <c r="X5" s="35" t="s">
        <v>139</v>
      </c>
      <c r="Y5" s="35" t="s">
        <v>140</v>
      </c>
      <c r="AA5" s="35" t="s">
        <v>11</v>
      </c>
      <c r="AB5" s="35">
        <v>132601</v>
      </c>
      <c r="AC5" s="35">
        <v>240340</v>
      </c>
      <c r="AD5" s="35">
        <v>1104482</v>
      </c>
      <c r="AE5" s="35">
        <v>3054271</v>
      </c>
      <c r="AF5" s="35">
        <v>5534811</v>
      </c>
      <c r="AH5" s="35" t="s">
        <v>11</v>
      </c>
      <c r="AI5" s="35">
        <v>136000</v>
      </c>
      <c r="AJ5" s="35">
        <v>125000</v>
      </c>
      <c r="AK5" s="35">
        <v>280000</v>
      </c>
      <c r="AL5" s="35">
        <v>303000</v>
      </c>
      <c r="AM5" s="35">
        <v>131000</v>
      </c>
      <c r="AN5" s="35">
        <v>51000</v>
      </c>
      <c r="AO5" s="35">
        <v>21000</v>
      </c>
      <c r="AP5" s="35">
        <v>11000</v>
      </c>
      <c r="AQ5" s="35">
        <v>7000</v>
      </c>
      <c r="AR5" s="35">
        <v>15000</v>
      </c>
    </row>
    <row r="6" spans="1:44" x14ac:dyDescent="0.25">
      <c r="W6" s="35" t="s">
        <v>13</v>
      </c>
      <c r="X6" s="35" t="s">
        <v>141</v>
      </c>
      <c r="Y6" s="35" t="s">
        <v>142</v>
      </c>
      <c r="AA6" s="35" t="s">
        <v>13</v>
      </c>
      <c r="AB6" s="35">
        <v>271164</v>
      </c>
      <c r="AC6" s="35">
        <v>137019</v>
      </c>
      <c r="AD6" s="35">
        <v>46266</v>
      </c>
      <c r="AE6" s="35">
        <v>10170</v>
      </c>
      <c r="AF6" s="35">
        <v>5601</v>
      </c>
      <c r="AH6" s="35" t="s">
        <v>13</v>
      </c>
      <c r="AI6" s="35">
        <v>1100000</v>
      </c>
      <c r="AJ6" s="35">
        <v>557000</v>
      </c>
      <c r="AK6" s="35">
        <v>280000</v>
      </c>
      <c r="AL6" s="35">
        <v>110000</v>
      </c>
      <c r="AM6" s="35">
        <v>41000</v>
      </c>
      <c r="AN6" s="35">
        <v>22000</v>
      </c>
      <c r="AO6" s="35">
        <v>11000</v>
      </c>
      <c r="AP6" s="35">
        <v>8400</v>
      </c>
      <c r="AQ6" s="35">
        <v>7500</v>
      </c>
      <c r="AR6" s="35">
        <v>44000</v>
      </c>
    </row>
    <row r="7" spans="1:44" ht="18.75" x14ac:dyDescent="0.3">
      <c r="A7" s="36" t="s">
        <v>104</v>
      </c>
      <c r="B7" s="36"/>
      <c r="C7" s="36"/>
      <c r="D7" s="36"/>
      <c r="E7" s="36"/>
      <c r="F7" s="36"/>
      <c r="G7" s="36"/>
      <c r="H7" s="36"/>
      <c r="N7" s="36" t="s">
        <v>105</v>
      </c>
      <c r="O7" s="36"/>
      <c r="P7" s="36"/>
      <c r="Q7" s="36"/>
      <c r="R7" s="36"/>
      <c r="S7" s="36"/>
      <c r="T7" s="36"/>
      <c r="U7" s="36"/>
      <c r="W7" s="35" t="s">
        <v>15</v>
      </c>
      <c r="X7" s="35" t="s">
        <v>143</v>
      </c>
      <c r="Y7" s="35" t="s">
        <v>144</v>
      </c>
      <c r="AA7" s="35" t="s">
        <v>15</v>
      </c>
      <c r="AB7" s="35">
        <v>3597983</v>
      </c>
      <c r="AC7" s="35">
        <v>2092922</v>
      </c>
      <c r="AD7" s="35">
        <v>925028</v>
      </c>
      <c r="AE7" s="35">
        <v>241851</v>
      </c>
      <c r="AF7" s="35">
        <v>126635</v>
      </c>
      <c r="AH7" s="35" t="s">
        <v>15</v>
      </c>
      <c r="AI7" s="35">
        <v>77000</v>
      </c>
      <c r="AJ7" s="35">
        <v>84000</v>
      </c>
      <c r="AK7" s="35">
        <v>101000</v>
      </c>
      <c r="AL7" s="35">
        <v>53000</v>
      </c>
      <c r="AM7" s="35">
        <v>19000</v>
      </c>
      <c r="AN7" s="35">
        <v>7900</v>
      </c>
      <c r="AO7" s="35">
        <v>3400</v>
      </c>
      <c r="AP7" s="35">
        <v>1900</v>
      </c>
      <c r="AQ7" s="35">
        <v>1400</v>
      </c>
      <c r="AR7" s="35">
        <v>4200</v>
      </c>
    </row>
    <row r="8" spans="1:44" x14ac:dyDescent="0.25">
      <c r="W8" s="35" t="s">
        <v>17</v>
      </c>
      <c r="X8" s="35" t="s">
        <v>17</v>
      </c>
      <c r="Y8" s="35" t="s">
        <v>145</v>
      </c>
      <c r="AA8" s="35" t="s">
        <v>17</v>
      </c>
      <c r="AB8" s="35">
        <v>2700215</v>
      </c>
      <c r="AC8" s="35">
        <v>1331924</v>
      </c>
      <c r="AD8" s="35">
        <v>580632</v>
      </c>
      <c r="AE8" s="35">
        <v>169365</v>
      </c>
      <c r="AF8" s="35">
        <v>111189</v>
      </c>
      <c r="AH8" s="35" t="s">
        <v>17</v>
      </c>
      <c r="AI8" s="35">
        <v>85000</v>
      </c>
      <c r="AJ8" s="35">
        <v>62000</v>
      </c>
      <c r="AK8" s="35">
        <v>102000</v>
      </c>
      <c r="AL8" s="35">
        <v>74000</v>
      </c>
      <c r="AM8" s="35">
        <v>29000</v>
      </c>
      <c r="AN8" s="35">
        <v>11000</v>
      </c>
      <c r="AO8" s="35">
        <v>4600</v>
      </c>
      <c r="AP8" s="35">
        <v>2600</v>
      </c>
      <c r="AQ8" s="35">
        <v>1800</v>
      </c>
      <c r="AR8" s="35">
        <v>3700</v>
      </c>
    </row>
    <row r="9" spans="1:44" x14ac:dyDescent="0.25">
      <c r="A9" s="37" t="s">
        <v>120</v>
      </c>
      <c r="B9" s="38" t="str">
        <f>INDEX(Table2[Book Title],MATCH(I4,Table2[Book Title],0))</f>
        <v>The Godfather (The Godfather, #1)</v>
      </c>
      <c r="C9" s="38"/>
      <c r="D9" s="38"/>
      <c r="E9" s="38"/>
      <c r="F9" s="38"/>
      <c r="G9" s="38"/>
      <c r="H9" s="38"/>
      <c r="N9" s="37" t="s">
        <v>119</v>
      </c>
      <c r="O9" s="38" t="str">
        <f>INDEX('Movie Data'!C2:C21,MATCH(I4,Table2[Book Title],0))</f>
        <v>The Godfather</v>
      </c>
      <c r="P9" s="38"/>
      <c r="Q9" s="38"/>
      <c r="R9" s="38"/>
      <c r="S9" s="38"/>
      <c r="T9" s="38"/>
      <c r="U9" s="38"/>
      <c r="W9" s="35" t="s">
        <v>44</v>
      </c>
      <c r="X9" s="35" t="s">
        <v>58</v>
      </c>
      <c r="Y9" s="35" t="s">
        <v>146</v>
      </c>
      <c r="AA9" s="35" t="s">
        <v>44</v>
      </c>
      <c r="AB9" s="35">
        <v>295546</v>
      </c>
      <c r="AC9" s="35">
        <v>196000</v>
      </c>
      <c r="AD9" s="35">
        <v>74186</v>
      </c>
      <c r="AE9" s="35">
        <v>16097</v>
      </c>
      <c r="AF9" s="35">
        <v>11741</v>
      </c>
      <c r="AH9" s="35" t="s">
        <v>44</v>
      </c>
      <c r="AI9" s="35">
        <v>407000</v>
      </c>
      <c r="AJ9" s="35">
        <v>563000</v>
      </c>
      <c r="AK9" s="35">
        <v>482000</v>
      </c>
      <c r="AL9" s="35">
        <v>182000</v>
      </c>
      <c r="AM9" s="35">
        <v>48000</v>
      </c>
      <c r="AN9" s="35">
        <v>17000</v>
      </c>
      <c r="AO9" s="35">
        <v>7400</v>
      </c>
      <c r="AP9" s="35">
        <v>4200</v>
      </c>
      <c r="AQ9" s="35">
        <v>3200</v>
      </c>
      <c r="AR9" s="35">
        <v>7600</v>
      </c>
    </row>
    <row r="10" spans="1:44" x14ac:dyDescent="0.25">
      <c r="A10" s="37" t="s">
        <v>121</v>
      </c>
      <c r="B10" s="38" t="str">
        <f>INDEX(Table2[Author],MATCH(I4,Table2[Book Title],0))</f>
        <v>Mario Puzo</v>
      </c>
      <c r="C10" s="38"/>
      <c r="D10" s="38"/>
      <c r="E10" s="38"/>
      <c r="F10" s="38"/>
      <c r="G10" s="38"/>
      <c r="H10" s="38"/>
      <c r="N10" s="37" t="s">
        <v>123</v>
      </c>
      <c r="O10" s="38" t="str">
        <f>INDEX('Movie Data'!$D$2:$D$21,MATCH(I4,Table2[Book Title],0))</f>
        <v>Francis Ford Coppola</v>
      </c>
      <c r="P10" s="38"/>
      <c r="Q10" s="38"/>
      <c r="R10" s="38"/>
      <c r="S10" s="38"/>
      <c r="T10" s="38"/>
      <c r="U10" s="38"/>
      <c r="W10" s="35" t="s">
        <v>19</v>
      </c>
      <c r="X10" s="35" t="s">
        <v>147</v>
      </c>
      <c r="Y10" s="35" t="s">
        <v>148</v>
      </c>
      <c r="AA10" s="35" t="s">
        <v>19</v>
      </c>
      <c r="AB10" s="35">
        <v>1632451</v>
      </c>
      <c r="AC10" s="35">
        <v>1152649</v>
      </c>
      <c r="AD10" s="35">
        <v>469607</v>
      </c>
      <c r="AE10" s="35">
        <v>134311</v>
      </c>
      <c r="AF10" s="35">
        <v>93029</v>
      </c>
      <c r="AH10" s="35" t="s">
        <v>19</v>
      </c>
      <c r="AI10" s="35">
        <v>56000</v>
      </c>
      <c r="AJ10" s="35">
        <v>98000</v>
      </c>
      <c r="AK10" s="35">
        <v>192000</v>
      </c>
      <c r="AL10" s="35">
        <v>118000</v>
      </c>
      <c r="AM10" s="35">
        <v>37000</v>
      </c>
      <c r="AN10" s="35">
        <v>12000</v>
      </c>
      <c r="AO10" s="35">
        <v>4900</v>
      </c>
      <c r="AP10" s="35">
        <v>2600</v>
      </c>
      <c r="AQ10" s="35">
        <v>1800</v>
      </c>
      <c r="AR10" s="35">
        <v>4400</v>
      </c>
    </row>
    <row r="11" spans="1:44" x14ac:dyDescent="0.25">
      <c r="A11" s="37" t="s">
        <v>124</v>
      </c>
      <c r="B11" s="38" t="str">
        <f>INDEX('Books Dataset'!$G$2:$G$21,MATCH(I4,Table2[Book Title],0))</f>
        <v>Crime Fiction</v>
      </c>
      <c r="C11" s="38"/>
      <c r="D11" s="38"/>
      <c r="E11" s="38"/>
      <c r="F11" s="38"/>
      <c r="G11" s="38"/>
      <c r="H11" s="38"/>
      <c r="N11" s="37" t="s">
        <v>124</v>
      </c>
      <c r="O11" s="38" t="str">
        <f>INDEX('Books Dataset'!$G$2:$G$21,MATCH(I4,Table2[Book Title],0))</f>
        <v>Crime Fiction</v>
      </c>
      <c r="P11" s="38"/>
      <c r="Q11" s="38"/>
      <c r="R11" s="38"/>
      <c r="S11" s="38"/>
      <c r="T11" s="38"/>
      <c r="U11" s="38"/>
      <c r="W11" s="35" t="s">
        <v>21</v>
      </c>
      <c r="X11" s="35" t="s">
        <v>55</v>
      </c>
      <c r="Y11" s="35" t="s">
        <v>149</v>
      </c>
      <c r="AA11" s="35" t="s">
        <v>21</v>
      </c>
      <c r="AB11" s="35">
        <v>1703351</v>
      </c>
      <c r="AC11" s="35">
        <v>747409</v>
      </c>
      <c r="AD11" s="35">
        <v>216194</v>
      </c>
      <c r="AE11" s="35">
        <v>57020</v>
      </c>
      <c r="AF11" s="35">
        <v>44703</v>
      </c>
      <c r="AH11" s="35" t="s">
        <v>21</v>
      </c>
      <c r="AI11" s="35">
        <v>1500000</v>
      </c>
      <c r="AJ11" s="35">
        <v>600000</v>
      </c>
      <c r="AK11" s="35">
        <v>259000</v>
      </c>
      <c r="AL11" s="35">
        <v>99000</v>
      </c>
      <c r="AM11" s="35">
        <v>38000</v>
      </c>
      <c r="AN11" s="35">
        <v>22000</v>
      </c>
      <c r="AO11" s="35">
        <v>11000</v>
      </c>
      <c r="AP11" s="35">
        <v>9700</v>
      </c>
      <c r="AQ11" s="35">
        <v>11000</v>
      </c>
      <c r="AR11" s="35">
        <v>85000</v>
      </c>
    </row>
    <row r="12" spans="1:44" x14ac:dyDescent="0.25">
      <c r="A12" s="37" t="s">
        <v>122</v>
      </c>
      <c r="B12" s="38">
        <f>INDEX(Table2[Average Rating],MATCH(I4,Table2[Book Title],0))</f>
        <v>4.4000000000000004</v>
      </c>
      <c r="C12" s="38"/>
      <c r="D12" s="38"/>
      <c r="E12" s="38"/>
      <c r="F12" s="38"/>
      <c r="G12" s="38"/>
      <c r="H12" s="38"/>
      <c r="N12" s="37" t="s">
        <v>125</v>
      </c>
      <c r="O12" s="38">
        <f>INDEX('Movie Data'!$F$2:$F$21,MATCH(I4,Table2[Book Title],0))</f>
        <v>9.1999999999999993</v>
      </c>
      <c r="P12" s="38"/>
      <c r="Q12" s="38"/>
      <c r="R12" s="38"/>
      <c r="S12" s="38"/>
      <c r="T12" s="38"/>
      <c r="U12" s="38"/>
      <c r="W12" s="35" t="s">
        <v>23</v>
      </c>
      <c r="X12" s="35" t="s">
        <v>57</v>
      </c>
      <c r="Y12" s="35" t="s">
        <v>150</v>
      </c>
      <c r="AA12" s="35" t="s">
        <v>23</v>
      </c>
      <c r="AB12" s="35">
        <v>886794</v>
      </c>
      <c r="AC12" s="35">
        <v>557008</v>
      </c>
      <c r="AD12" s="35">
        <v>213163</v>
      </c>
      <c r="AE12" s="35">
        <v>47603</v>
      </c>
      <c r="AF12" s="35">
        <v>28869</v>
      </c>
      <c r="AH12" s="35" t="s">
        <v>23</v>
      </c>
      <c r="AI12" s="35">
        <v>274000</v>
      </c>
      <c r="AJ12" s="35">
        <v>332000</v>
      </c>
      <c r="AK12" s="35">
        <v>339000</v>
      </c>
      <c r="AL12" s="35">
        <v>165000</v>
      </c>
      <c r="AM12" s="35">
        <v>59000</v>
      </c>
      <c r="AN12" s="35">
        <v>24000</v>
      </c>
      <c r="AO12" s="35">
        <v>11000</v>
      </c>
      <c r="AP12" s="35">
        <v>6600</v>
      </c>
      <c r="AQ12" s="35">
        <v>4500</v>
      </c>
      <c r="AR12" s="35">
        <v>8900</v>
      </c>
    </row>
    <row r="13" spans="1:44" x14ac:dyDescent="0.25">
      <c r="A13" s="37" t="s">
        <v>126</v>
      </c>
      <c r="B13" s="39">
        <f>INDEX(Table2[Rating Number],MATCH(I4,Table2[Book Title],0))</f>
        <v>469814</v>
      </c>
      <c r="C13" s="39"/>
      <c r="D13" s="39"/>
      <c r="E13" s="39"/>
      <c r="F13" s="39"/>
      <c r="G13" s="39"/>
      <c r="H13" s="39"/>
      <c r="N13" s="37" t="s">
        <v>127</v>
      </c>
      <c r="O13" s="39">
        <f>INDEX('Movie Data'!$G$2:$G$21,MATCH(I4,Table2[Book Title],0))*1000000</f>
        <v>2100000</v>
      </c>
      <c r="P13" s="40"/>
      <c r="Q13" s="40"/>
      <c r="R13" s="40"/>
      <c r="S13" s="40"/>
      <c r="T13" s="40"/>
      <c r="U13" s="40"/>
      <c r="W13" s="35" t="s">
        <v>24</v>
      </c>
      <c r="X13" s="35" t="s">
        <v>52</v>
      </c>
      <c r="Y13" s="35" t="s">
        <v>151</v>
      </c>
      <c r="AA13" s="35" t="s">
        <v>24</v>
      </c>
      <c r="AB13" s="35">
        <v>927932</v>
      </c>
      <c r="AC13" s="35">
        <v>506232</v>
      </c>
      <c r="AD13" s="35">
        <v>275426</v>
      </c>
      <c r="AE13" s="35">
        <v>90333</v>
      </c>
      <c r="AF13" s="35">
        <v>55090</v>
      </c>
      <c r="AH13" s="35" t="s">
        <v>24</v>
      </c>
      <c r="AI13" s="35">
        <v>157000</v>
      </c>
      <c r="AJ13" s="35">
        <v>122000</v>
      </c>
      <c r="AK13" s="35">
        <v>184000</v>
      </c>
      <c r="AL13" s="35">
        <v>122000</v>
      </c>
      <c r="AM13" s="35">
        <v>53000</v>
      </c>
      <c r="AN13" s="35">
        <v>23000</v>
      </c>
      <c r="AO13" s="35">
        <v>10000</v>
      </c>
      <c r="AP13" s="35">
        <v>5700</v>
      </c>
      <c r="AQ13" s="35">
        <v>3900</v>
      </c>
      <c r="AR13" s="35">
        <v>8000</v>
      </c>
    </row>
    <row r="14" spans="1:44" x14ac:dyDescent="0.25">
      <c r="A14" s="37" t="s">
        <v>128</v>
      </c>
      <c r="B14" s="39">
        <f>INDEX(Table2[Copies Sold (millions)],MATCH(I4,Table2[Book Title],0))</f>
        <v>21</v>
      </c>
      <c r="C14" s="39"/>
      <c r="D14" s="39"/>
      <c r="E14" s="39"/>
      <c r="F14" s="39"/>
      <c r="G14" s="39"/>
      <c r="H14" s="39"/>
      <c r="N14" s="37" t="s">
        <v>129</v>
      </c>
      <c r="O14" s="39">
        <f>INDEX('Movie Data'!$H$2:$H$21,MATCH(I4,Table2[Book Title],0))</f>
        <v>250</v>
      </c>
      <c r="P14" s="41"/>
      <c r="Q14" s="41"/>
      <c r="R14" s="41"/>
      <c r="S14" s="41"/>
      <c r="T14" s="41"/>
      <c r="U14" s="41"/>
      <c r="W14" s="35" t="s">
        <v>41</v>
      </c>
      <c r="X14" s="35" t="s">
        <v>41</v>
      </c>
      <c r="Y14" s="35" t="s">
        <v>152</v>
      </c>
      <c r="AA14" s="35" t="s">
        <v>41</v>
      </c>
      <c r="AB14" s="35">
        <v>348155</v>
      </c>
      <c r="AC14" s="35">
        <v>288979</v>
      </c>
      <c r="AD14" s="35">
        <v>116427</v>
      </c>
      <c r="AE14" s="35">
        <v>24635</v>
      </c>
      <c r="AF14" s="35">
        <v>8754</v>
      </c>
      <c r="AH14" s="35" t="s">
        <v>41</v>
      </c>
      <c r="AI14" s="35">
        <v>316000</v>
      </c>
      <c r="AJ14" s="35">
        <v>368000</v>
      </c>
      <c r="AK14" s="35">
        <v>287000</v>
      </c>
      <c r="AL14" s="35">
        <v>116000</v>
      </c>
      <c r="AM14" s="35">
        <v>35000</v>
      </c>
      <c r="AN14" s="35">
        <v>13000</v>
      </c>
      <c r="AO14" s="35">
        <v>5900</v>
      </c>
      <c r="AP14" s="35">
        <v>3300</v>
      </c>
      <c r="AQ14" s="35">
        <v>2400</v>
      </c>
      <c r="AR14" s="35">
        <v>8900</v>
      </c>
    </row>
    <row r="15" spans="1:44" x14ac:dyDescent="0.25">
      <c r="W15" s="35" t="s">
        <v>27</v>
      </c>
      <c r="X15" s="35" t="s">
        <v>27</v>
      </c>
      <c r="Y15" s="35" t="s">
        <v>153</v>
      </c>
      <c r="AA15" s="35" t="s">
        <v>27</v>
      </c>
      <c r="AB15" s="35">
        <v>566663</v>
      </c>
      <c r="AC15" s="35">
        <v>533792</v>
      </c>
      <c r="AD15" s="35">
        <v>305058</v>
      </c>
      <c r="AE15" s="35">
        <v>72961</v>
      </c>
      <c r="AF15" s="35">
        <v>26077</v>
      </c>
      <c r="AH15" s="35" t="s">
        <v>27</v>
      </c>
      <c r="AI15" s="35">
        <v>34000</v>
      </c>
      <c r="AJ15" s="35">
        <v>36000</v>
      </c>
      <c r="AK15" s="35">
        <v>73000</v>
      </c>
      <c r="AL15" s="35">
        <v>67000</v>
      </c>
      <c r="AM15" s="35">
        <v>32000</v>
      </c>
      <c r="AN15" s="35">
        <v>13000</v>
      </c>
      <c r="AO15" s="35">
        <v>6100</v>
      </c>
      <c r="AP15" s="35">
        <v>3200</v>
      </c>
      <c r="AQ15" s="35">
        <v>2000</v>
      </c>
      <c r="AR15" s="35">
        <v>2800</v>
      </c>
    </row>
    <row r="16" spans="1:44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W16" s="35" t="s">
        <v>29</v>
      </c>
      <c r="X16" s="35" t="s">
        <v>54</v>
      </c>
      <c r="Y16" s="35" t="s">
        <v>154</v>
      </c>
      <c r="AA16" s="35" t="s">
        <v>29</v>
      </c>
      <c r="AB16" s="35">
        <v>460528</v>
      </c>
      <c r="AC16" s="35">
        <v>376689</v>
      </c>
      <c r="AD16" s="35">
        <v>180717</v>
      </c>
      <c r="AE16" s="35">
        <v>40319</v>
      </c>
      <c r="AF16" s="35">
        <v>17971</v>
      </c>
      <c r="AH16" s="35" t="s">
        <v>29</v>
      </c>
      <c r="AI16" s="35">
        <v>226000</v>
      </c>
      <c r="AJ16" s="35">
        <v>253000</v>
      </c>
      <c r="AK16" s="35">
        <v>384000</v>
      </c>
      <c r="AL16" s="35">
        <v>204000</v>
      </c>
      <c r="AM16" s="35">
        <v>65000</v>
      </c>
      <c r="AN16" s="35">
        <v>23000</v>
      </c>
      <c r="AO16" s="35">
        <v>9100</v>
      </c>
      <c r="AP16" s="35">
        <v>5000</v>
      </c>
      <c r="AQ16" s="35">
        <v>3000</v>
      </c>
      <c r="AR16" s="35">
        <v>5500</v>
      </c>
    </row>
    <row r="17" spans="1:44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W17" s="35" t="s">
        <v>31</v>
      </c>
      <c r="X17" s="35" t="s">
        <v>31</v>
      </c>
      <c r="Y17" s="35" t="s">
        <v>155</v>
      </c>
      <c r="AA17" s="35" t="s">
        <v>31</v>
      </c>
      <c r="AB17" s="35">
        <v>2112564</v>
      </c>
      <c r="AC17" s="35">
        <v>2049922</v>
      </c>
      <c r="AD17" s="35">
        <v>1301238</v>
      </c>
      <c r="AE17" s="35">
        <v>383743</v>
      </c>
      <c r="AF17" s="35">
        <v>163293</v>
      </c>
      <c r="AH17" s="35" t="s">
        <v>31</v>
      </c>
      <c r="AI17" s="35">
        <v>67000</v>
      </c>
      <c r="AJ17" s="35">
        <v>75000</v>
      </c>
      <c r="AK17" s="35">
        <v>165000</v>
      </c>
      <c r="AL17" s="35">
        <v>182000</v>
      </c>
      <c r="AM17" s="35">
        <v>89000</v>
      </c>
      <c r="AN17" s="35">
        <v>35000</v>
      </c>
      <c r="AO17" s="35">
        <v>14000</v>
      </c>
      <c r="AP17" s="35">
        <v>6800</v>
      </c>
      <c r="AQ17" s="35">
        <v>3900</v>
      </c>
      <c r="AR17" s="35">
        <v>6000</v>
      </c>
    </row>
    <row r="18" spans="1:44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W18" s="35" t="s">
        <v>33</v>
      </c>
      <c r="X18" s="35" t="s">
        <v>33</v>
      </c>
      <c r="Y18" s="35" t="s">
        <v>156</v>
      </c>
      <c r="AA18" s="35" t="s">
        <v>33</v>
      </c>
      <c r="AB18" s="35">
        <v>285564</v>
      </c>
      <c r="AC18" s="35">
        <v>236682</v>
      </c>
      <c r="AD18" s="35">
        <v>99656</v>
      </c>
      <c r="AE18" s="35">
        <v>22196</v>
      </c>
      <c r="AF18" s="35">
        <v>7984</v>
      </c>
      <c r="AH18" s="35" t="s">
        <v>33</v>
      </c>
      <c r="AI18" s="35">
        <v>875000</v>
      </c>
      <c r="AJ18" s="35">
        <v>805000</v>
      </c>
      <c r="AK18" s="35">
        <v>538000</v>
      </c>
      <c r="AL18" s="35">
        <v>220000</v>
      </c>
      <c r="AM18" s="35">
        <v>74000</v>
      </c>
      <c r="AN18" s="35">
        <v>33000</v>
      </c>
      <c r="AO18" s="35">
        <v>17000</v>
      </c>
      <c r="AP18" s="35">
        <v>11000</v>
      </c>
      <c r="AQ18" s="35">
        <v>8800</v>
      </c>
      <c r="AR18" s="35">
        <v>23000</v>
      </c>
    </row>
    <row r="19" spans="1:44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W19" s="35" t="s">
        <v>35</v>
      </c>
      <c r="X19" s="35" t="s">
        <v>157</v>
      </c>
      <c r="Y19" s="35" t="s">
        <v>158</v>
      </c>
      <c r="AA19" s="35" t="s">
        <v>35</v>
      </c>
      <c r="AB19" s="35">
        <v>190382</v>
      </c>
      <c r="AC19" s="35">
        <v>214531</v>
      </c>
      <c r="AD19" s="35">
        <v>94920</v>
      </c>
      <c r="AE19" s="35">
        <v>17843</v>
      </c>
      <c r="AF19" s="35">
        <v>4387</v>
      </c>
      <c r="AH19" s="35" t="s">
        <v>35</v>
      </c>
      <c r="AI19" s="35">
        <v>204000</v>
      </c>
      <c r="AJ19" s="35">
        <v>197000</v>
      </c>
      <c r="AK19" s="35">
        <v>226000</v>
      </c>
      <c r="AL19" s="35">
        <v>137000</v>
      </c>
      <c r="AM19" s="35">
        <v>60000</v>
      </c>
      <c r="AN19" s="35">
        <v>26000</v>
      </c>
      <c r="AO19" s="35">
        <v>12000</v>
      </c>
      <c r="AP19" s="35">
        <v>7000</v>
      </c>
      <c r="AQ19" s="35">
        <v>4600</v>
      </c>
      <c r="AR19" s="35">
        <v>7600</v>
      </c>
    </row>
    <row r="20" spans="1:44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W20" s="35" t="s">
        <v>42</v>
      </c>
      <c r="Y20" s="35" t="s">
        <v>159</v>
      </c>
      <c r="AA20" s="35" t="s">
        <v>42</v>
      </c>
      <c r="AB20" s="35">
        <v>0</v>
      </c>
      <c r="AC20" s="35">
        <v>0</v>
      </c>
      <c r="AD20" s="35">
        <v>0</v>
      </c>
      <c r="AE20" s="35">
        <v>0</v>
      </c>
      <c r="AF20" s="35">
        <v>0</v>
      </c>
      <c r="AH20" s="35" t="s">
        <v>42</v>
      </c>
      <c r="AI20" s="35">
        <v>605000</v>
      </c>
      <c r="AJ20" s="35">
        <v>503000</v>
      </c>
      <c r="AK20" s="35">
        <v>281000</v>
      </c>
      <c r="AL20" s="35">
        <v>102000</v>
      </c>
      <c r="AM20" s="35">
        <v>34000</v>
      </c>
      <c r="AN20" s="35">
        <v>16000</v>
      </c>
      <c r="AO20" s="35">
        <v>7600</v>
      </c>
      <c r="AP20" s="35">
        <v>5700</v>
      </c>
      <c r="AQ20" s="35">
        <v>5300</v>
      </c>
      <c r="AR20" s="35">
        <v>24000</v>
      </c>
    </row>
    <row r="21" spans="1:44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W21" s="35" t="s">
        <v>43</v>
      </c>
      <c r="X21" s="35" t="s">
        <v>53</v>
      </c>
      <c r="Y21" s="35" t="s">
        <v>160</v>
      </c>
      <c r="AA21" s="35" t="s">
        <v>43</v>
      </c>
      <c r="AB21" s="35">
        <v>1087503</v>
      </c>
      <c r="AC21" s="35">
        <v>879291</v>
      </c>
      <c r="AD21" s="35">
        <v>371115</v>
      </c>
      <c r="AE21" s="35">
        <v>98132</v>
      </c>
      <c r="AF21" s="35">
        <v>45854</v>
      </c>
      <c r="AH21" s="35" t="s">
        <v>43</v>
      </c>
      <c r="AI21" s="35">
        <v>87000</v>
      </c>
      <c r="AJ21" s="35">
        <v>80000</v>
      </c>
      <c r="AK21" s="35">
        <v>66000</v>
      </c>
      <c r="AL21" s="35">
        <v>30000</v>
      </c>
      <c r="AM21" s="35">
        <v>12000</v>
      </c>
      <c r="AN21" s="35">
        <v>6100</v>
      </c>
      <c r="AO21" s="35">
        <v>3400</v>
      </c>
      <c r="AP21" s="35">
        <v>2400</v>
      </c>
      <c r="AQ21" s="35">
        <v>2100</v>
      </c>
      <c r="AR21" s="35">
        <v>7300</v>
      </c>
    </row>
    <row r="22" spans="1:44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</row>
    <row r="23" spans="1:44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</row>
    <row r="24" spans="1:44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</row>
    <row r="25" spans="1:44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</row>
    <row r="26" spans="1:44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</row>
    <row r="27" spans="1:44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</row>
    <row r="28" spans="1:44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</row>
    <row r="29" spans="1:44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</row>
    <row r="30" spans="1:44" hidden="1" x14ac:dyDescent="0.25">
      <c r="A30" s="42" t="s">
        <v>171</v>
      </c>
      <c r="B30" s="42" t="s">
        <v>172</v>
      </c>
      <c r="C30" s="42"/>
      <c r="D30" s="42" t="s">
        <v>173</v>
      </c>
      <c r="E30" s="42" t="s">
        <v>174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</row>
    <row r="31" spans="1:44" hidden="1" x14ac:dyDescent="0.25">
      <c r="A31" s="35" t="s">
        <v>47</v>
      </c>
      <c r="B31" s="35">
        <f>INDEX($AA$2:$AF$21,MATCH($I$4,$AA$2:$AA$21,0),6)</f>
        <v>5601</v>
      </c>
      <c r="D31" s="35" t="s">
        <v>100</v>
      </c>
      <c r="E31" s="35">
        <f>INDEX($AH$2:$AR$21,MATCH($I$4,$AH$2:$AH$21,0),2)</f>
        <v>1100000</v>
      </c>
    </row>
    <row r="32" spans="1:44" hidden="1" x14ac:dyDescent="0.25">
      <c r="A32" s="35" t="s">
        <v>48</v>
      </c>
      <c r="B32" s="35">
        <f>INDEX($AA$2:$AF$21,MATCH($I$4,$AA$2:$AA$21,0),5)</f>
        <v>10170</v>
      </c>
      <c r="D32" s="35" t="s">
        <v>99</v>
      </c>
      <c r="E32" s="35">
        <f>INDEX($AH$2:$AR$21,MATCH($I$4,$AH$2:$AH$21,0),3)</f>
        <v>557000</v>
      </c>
    </row>
    <row r="33" spans="1:5" hidden="1" x14ac:dyDescent="0.25">
      <c r="A33" s="35" t="s">
        <v>49</v>
      </c>
      <c r="B33" s="35">
        <f>INDEX($AA$2:$AF$21,MATCH($I$4,$AA$2:$AA$21,0),4)</f>
        <v>46266</v>
      </c>
      <c r="D33" s="35" t="s">
        <v>98</v>
      </c>
      <c r="E33" s="35">
        <f>INDEX($AH$2:$AR$21,MATCH($I$4,$AH$2:$AH$21,0),4)</f>
        <v>280000</v>
      </c>
    </row>
    <row r="34" spans="1:5" hidden="1" x14ac:dyDescent="0.25">
      <c r="A34" s="35" t="s">
        <v>50</v>
      </c>
      <c r="B34" s="35">
        <f>INDEX($AA$2:$AF$21,MATCH($I$4,$AA$2:$AA$21,0),3)</f>
        <v>137019</v>
      </c>
      <c r="D34" s="35" t="s">
        <v>97</v>
      </c>
      <c r="E34" s="35">
        <f>INDEX($AH$2:$AR$21,MATCH($I$4,$AH$2:$AH$21,0),5)</f>
        <v>110000</v>
      </c>
    </row>
    <row r="35" spans="1:5" hidden="1" x14ac:dyDescent="0.25">
      <c r="A35" s="35" t="s">
        <v>51</v>
      </c>
      <c r="B35" s="35">
        <f>INDEX($AA$2:$AF$21,MATCH($I$4,$AA$2:$AA$21,0),2)</f>
        <v>271164</v>
      </c>
      <c r="D35" s="35" t="s">
        <v>96</v>
      </c>
      <c r="E35" s="35">
        <f>INDEX($AH$2:$AR$21,MATCH($I$4,$AH$2:$AH$21,0),6)</f>
        <v>41000</v>
      </c>
    </row>
    <row r="36" spans="1:5" hidden="1" x14ac:dyDescent="0.25">
      <c r="D36" s="35" t="s">
        <v>47</v>
      </c>
      <c r="E36" s="35">
        <f>INDEX($AH$2:$AR$21,MATCH($I$4,$AH$2:$AH$21,0),7)</f>
        <v>22000</v>
      </c>
    </row>
    <row r="37" spans="1:5" hidden="1" x14ac:dyDescent="0.25">
      <c r="D37" s="35" t="s">
        <v>48</v>
      </c>
      <c r="E37" s="35">
        <f>INDEX($AH$2:$AR$21,MATCH($I$4,$AH$2:$AH$21,0),8)</f>
        <v>11000</v>
      </c>
    </row>
    <row r="38" spans="1:5" hidden="1" x14ac:dyDescent="0.25">
      <c r="D38" s="35" t="s">
        <v>49</v>
      </c>
      <c r="E38" s="35">
        <f>INDEX($AH$2:$AR$21,MATCH($I$4,$AH$2:$AH$21,0),9)</f>
        <v>8400</v>
      </c>
    </row>
    <row r="39" spans="1:5" hidden="1" x14ac:dyDescent="0.25">
      <c r="D39" s="35" t="s">
        <v>50</v>
      </c>
      <c r="E39" s="35">
        <f>INDEX($AH$2:$AR$21,MATCH($I$4,$AH$2:$AH$21,0),10)</f>
        <v>7500</v>
      </c>
    </row>
    <row r="40" spans="1:5" hidden="1" x14ac:dyDescent="0.25">
      <c r="D40" s="35" t="s">
        <v>51</v>
      </c>
      <c r="E40" s="35">
        <f>INDEX($AH$2:$AR$21,MATCH($I$4,$AH$2:$AH$21,0),11)</f>
        <v>44000</v>
      </c>
    </row>
  </sheetData>
  <mergeCells count="17">
    <mergeCell ref="O14:U14"/>
    <mergeCell ref="B9:H9"/>
    <mergeCell ref="B10:H10"/>
    <mergeCell ref="B11:H11"/>
    <mergeCell ref="B12:H12"/>
    <mergeCell ref="B13:H13"/>
    <mergeCell ref="B14:H14"/>
    <mergeCell ref="O9:U9"/>
    <mergeCell ref="O10:U10"/>
    <mergeCell ref="O11:U11"/>
    <mergeCell ref="O12:U12"/>
    <mergeCell ref="O13:U13"/>
    <mergeCell ref="A1:U1"/>
    <mergeCell ref="I4:M4"/>
    <mergeCell ref="I3:M3"/>
    <mergeCell ref="N7:U7"/>
    <mergeCell ref="A7:H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303144-AB2B-4829-93F0-14B1AE5E3D6E}">
          <x14:formula1>
            <xm:f>'Books Dataset'!$B$2:$B$21</xm:f>
          </x14:formula1>
          <xm:sqref>I4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8AC91E-BFE7-4B01-BFB9-672C0D0631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Books Dataset</vt:lpstr>
      <vt:lpstr>The Lord of the Rings (The Lord</vt:lpstr>
      <vt:lpstr>Harry Potter and the Sorcerer's</vt:lpstr>
      <vt:lpstr>Gone With the Wind</vt:lpstr>
      <vt:lpstr>The Hunger Games (The Hunger Ga</vt:lpstr>
      <vt:lpstr>The GodFather</vt:lpstr>
      <vt:lpstr>To Kill A Mockingbird</vt:lpstr>
      <vt:lpstr>Pride and Prejudice</vt:lpstr>
      <vt:lpstr>The Silence of the Lambs</vt:lpstr>
      <vt:lpstr>The Shining</vt:lpstr>
      <vt:lpstr>The Girl With the Dragon Tattoo</vt:lpstr>
      <vt:lpstr>A Game of Thrones</vt:lpstr>
      <vt:lpstr>The Great Gatsby</vt:lpstr>
      <vt:lpstr>One Flew Over the Cuckoo's Nest</vt:lpstr>
      <vt:lpstr>Jurassic Park</vt:lpstr>
      <vt:lpstr>Fight Club</vt:lpstr>
      <vt:lpstr>The Handmaid's Tale</vt:lpstr>
      <vt:lpstr>Dracula</vt:lpstr>
      <vt:lpstr>Do Androids Dream of Electric S</vt:lpstr>
      <vt:lpstr>The Notebook</vt:lpstr>
      <vt:lpstr>Movie Data</vt:lpstr>
      <vt:lpstr>The Lord of the Rings -Rating</vt:lpstr>
      <vt:lpstr>H.P and the Sorcere's Stone-Ra </vt:lpstr>
      <vt:lpstr>Gone with the Wind-Rating</vt:lpstr>
      <vt:lpstr>Film - The Lord of the Rings T</vt:lpstr>
      <vt:lpstr>Film - Harry Potter and the Sor</vt:lpstr>
      <vt:lpstr>Film - Gone with the Wind</vt:lpstr>
      <vt:lpstr>Film - The Hunger Games</vt:lpstr>
      <vt:lpstr>Film - The Godfather</vt:lpstr>
      <vt:lpstr>Film - To Kill a Mockingbird</vt:lpstr>
      <vt:lpstr>Film - Pride &amp; Prejudice</vt:lpstr>
      <vt:lpstr>Film - The Silence of the Lambs</vt:lpstr>
      <vt:lpstr>Film - The Shining</vt:lpstr>
      <vt:lpstr>Film - The Girl with the Dragon</vt:lpstr>
      <vt:lpstr>Film - Game of Thrones</vt:lpstr>
      <vt:lpstr>Film - The Great Gatsby</vt:lpstr>
      <vt:lpstr>Film - One Flew Over the Cuckoo</vt:lpstr>
      <vt:lpstr>Film - Jurassic Park</vt:lpstr>
      <vt:lpstr>Film - Fight Club</vt:lpstr>
      <vt:lpstr>Film - The Handmaid's Tale</vt:lpstr>
      <vt:lpstr>Film - Bram Stoker's Dracula</vt:lpstr>
      <vt:lpstr>Film - Schindler's List</vt:lpstr>
      <vt:lpstr>Film - Blade Runner</vt:lpstr>
      <vt:lpstr>Film - The Notebook</vt:lpstr>
      <vt:lpstr>📚 Dashboard 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Parnica Alexandru</dc:creator>
  <cp:lastModifiedBy>Parnica Alexandru</cp:lastModifiedBy>
  <dcterms:created xsi:type="dcterms:W3CDTF">2026-04-20T18:07:43Z</dcterms:created>
  <dcterms:modified xsi:type="dcterms:W3CDTF">2026-05-09T11:35:17Z</dcterms:modified>
</cp:coreProperties>
</file>